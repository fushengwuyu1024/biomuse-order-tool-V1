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3.品宣资料\6.订购表\"/>
    </mc:Choice>
  </mc:AlternateContent>
  <xr:revisionPtr revIDLastSave="0" documentId="13_ncr:1_{088EA4BE-4EAE-4266-91C0-D7D8B89719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NA合成订购表" sheetId="1" r:id="rId1"/>
    <sheet name="修饰列表" sheetId="5" state="hidden" r:id="rId2"/>
    <sheet name="可合成修饰种类" sheetId="9" r:id="rId3"/>
    <sheet name="填写说明" sheetId="10" r:id="rId4"/>
  </sheets>
  <externalReferences>
    <externalReference r:id="rId5"/>
  </externalReferences>
  <definedNames>
    <definedName name="_xlnm._FilterDatabase" localSheetId="0" hidden="1">DNA合成订购表!$A$1:$P$101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9" l="1"/>
  <c r="E71" i="9"/>
  <c r="E68" i="9"/>
  <c r="E67" i="9"/>
  <c r="Q22" i="1"/>
  <c r="Q20" i="1" l="1"/>
  <c r="Q322" i="1" l="1"/>
  <c r="Q229" i="1"/>
  <c r="Q228" i="1"/>
  <c r="Q227" i="1"/>
  <c r="Q226" i="1"/>
  <c r="Q225" i="1"/>
  <c r="Q224" i="1"/>
  <c r="Q223" i="1"/>
  <c r="Q222" i="1"/>
  <c r="Q221" i="1"/>
  <c r="Q220" i="1"/>
  <c r="Q122" i="1"/>
  <c r="G18" i="1"/>
  <c r="I18" i="1"/>
  <c r="P20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21" i="1"/>
  <c r="Q23" i="1"/>
  <c r="Q24" i="1"/>
  <c r="S21" i="10"/>
  <c r="S22" i="10"/>
  <c r="S23" i="10"/>
  <c r="S24" i="10"/>
  <c r="S25" i="10"/>
  <c r="S20" i="10"/>
  <c r="S15" i="10"/>
  <c r="S16" i="10"/>
  <c r="S17" i="10"/>
  <c r="S18" i="10"/>
  <c r="S19" i="10"/>
  <c r="S14" i="10"/>
  <c r="S9" i="10"/>
  <c r="S10" i="10"/>
  <c r="S11" i="10"/>
  <c r="S12" i="10"/>
  <c r="S13" i="10"/>
  <c r="S8" i="10"/>
  <c r="S3" i="10"/>
  <c r="S4" i="10"/>
  <c r="S5" i="10"/>
  <c r="S6" i="10"/>
  <c r="S7" i="10"/>
  <c r="S2" i="10"/>
  <c r="D59" i="5"/>
  <c r="D58" i="5"/>
  <c r="D57" i="5"/>
  <c r="D56" i="5"/>
  <c r="D55" i="5"/>
  <c r="D54" i="5"/>
  <c r="D53" i="5"/>
  <c r="D52" i="5"/>
  <c r="D51" i="5"/>
  <c r="D50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P122" i="1" s="1" a="1"/>
  <c r="P122" i="1" s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220" i="1" l="1" a="1"/>
  <c r="P220" i="1" s="1"/>
  <c r="P221" i="1" a="1"/>
  <c r="P221" i="1" s="1"/>
  <c r="P222" i="1" a="1"/>
  <c r="P222" i="1" s="1"/>
  <c r="P223" i="1" a="1"/>
  <c r="P223" i="1" s="1"/>
  <c r="P31" i="1" a="1"/>
  <c r="P31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2" i="1" a="1"/>
  <c r="P22" i="1" s="1"/>
  <c r="P322" i="1" a="1"/>
  <c r="P322" i="1" s="1"/>
  <c r="P55" i="1" a="1"/>
  <c r="P55" i="1" s="1"/>
  <c r="P88" i="1" a="1"/>
  <c r="P88" i="1" s="1"/>
  <c r="P363" i="1" a="1"/>
  <c r="P363" i="1" s="1"/>
  <c r="P340" i="1" a="1"/>
  <c r="P340" i="1" s="1"/>
  <c r="P43" i="1" a="1"/>
  <c r="P43" i="1" s="1"/>
  <c r="P208" i="1" a="1"/>
  <c r="P208" i="1" s="1"/>
  <c r="P268" i="1" a="1"/>
  <c r="P268" i="1" s="1"/>
  <c r="P124" i="1" a="1"/>
  <c r="P124" i="1" s="1"/>
  <c r="P136" i="1" a="1"/>
  <c r="P136" i="1" s="1"/>
  <c r="P280" i="1" a="1"/>
  <c r="P280" i="1" s="1"/>
  <c r="P148" i="1" a="1"/>
  <c r="P148" i="1" s="1"/>
  <c r="P292" i="1" a="1"/>
  <c r="P292" i="1" s="1"/>
  <c r="P160" i="1" a="1"/>
  <c r="P160" i="1" s="1"/>
  <c r="P304" i="1" a="1"/>
  <c r="P304" i="1" s="1"/>
  <c r="P375" i="1" a="1"/>
  <c r="P375" i="1" s="1"/>
  <c r="P172" i="1" a="1"/>
  <c r="P172" i="1" s="1"/>
  <c r="P316" i="1" a="1"/>
  <c r="P316" i="1" s="1"/>
  <c r="P184" i="1" a="1"/>
  <c r="P184" i="1" s="1"/>
  <c r="P328" i="1" a="1"/>
  <c r="P328" i="1" s="1"/>
  <c r="P196" i="1" a="1"/>
  <c r="P196" i="1" s="1"/>
  <c r="P352" i="1" a="1"/>
  <c r="P352" i="1" s="1"/>
  <c r="P232" i="1" a="1"/>
  <c r="P232" i="1" s="1"/>
  <c r="P380" i="1" a="1"/>
  <c r="P380" i="1" s="1"/>
  <c r="P97" i="1" a="1"/>
  <c r="P97" i="1" s="1"/>
  <c r="P244" i="1" a="1"/>
  <c r="P244" i="1" s="1"/>
  <c r="P114" i="1" a="1"/>
  <c r="P114" i="1" s="1"/>
  <c r="P256" i="1" a="1"/>
  <c r="P256" i="1" s="1"/>
  <c r="P83" i="1" a="1"/>
  <c r="P83" i="1" s="1"/>
  <c r="P130" i="1" a="1"/>
  <c r="P130" i="1" s="1"/>
  <c r="P214" i="1" a="1"/>
  <c r="P214" i="1" s="1"/>
  <c r="P39" i="1" a="1"/>
  <c r="P39" i="1" s="1"/>
  <c r="P29" i="1" a="1"/>
  <c r="P29" i="1" s="1"/>
  <c r="P53" i="1" a="1"/>
  <c r="P53" i="1" s="1"/>
  <c r="P86" i="1" a="1"/>
  <c r="P86" i="1" s="1"/>
  <c r="P95" i="1" a="1"/>
  <c r="P95" i="1" s="1"/>
  <c r="P104" i="1" a="1"/>
  <c r="P104" i="1" s="1"/>
  <c r="P113" i="1" a="1"/>
  <c r="P113" i="1" s="1"/>
  <c r="P134" i="1" a="1"/>
  <c r="P134" i="1" s="1"/>
  <c r="P146" i="1" a="1"/>
  <c r="P146" i="1" s="1"/>
  <c r="P158" i="1" a="1"/>
  <c r="P158" i="1" s="1"/>
  <c r="P170" i="1" a="1"/>
  <c r="P170" i="1" s="1"/>
  <c r="P182" i="1" a="1"/>
  <c r="P182" i="1" s="1"/>
  <c r="P194" i="1" a="1"/>
  <c r="P194" i="1" s="1"/>
  <c r="P206" i="1" a="1"/>
  <c r="P206" i="1" s="1"/>
  <c r="P218" i="1" a="1"/>
  <c r="P218" i="1" s="1"/>
  <c r="P230" i="1" a="1"/>
  <c r="P230" i="1" s="1"/>
  <c r="P242" i="1" a="1"/>
  <c r="P242" i="1" s="1"/>
  <c r="P254" i="1" a="1"/>
  <c r="P254" i="1" s="1"/>
  <c r="P266" i="1" a="1"/>
  <c r="P266" i="1" s="1"/>
  <c r="P278" i="1" a="1"/>
  <c r="P278" i="1" s="1"/>
  <c r="P290" i="1" a="1"/>
  <c r="P290" i="1" s="1"/>
  <c r="P302" i="1" a="1"/>
  <c r="P302" i="1" s="1"/>
  <c r="P314" i="1" a="1"/>
  <c r="P314" i="1" s="1"/>
  <c r="P326" i="1" a="1"/>
  <c r="P326" i="1" s="1"/>
  <c r="P338" i="1" a="1"/>
  <c r="P338" i="1" s="1"/>
  <c r="P350" i="1" a="1"/>
  <c r="P350" i="1" s="1"/>
  <c r="P361" i="1" a="1"/>
  <c r="P361" i="1" s="1"/>
  <c r="P376" i="1" a="1"/>
  <c r="P376" i="1" s="1"/>
  <c r="P37" i="1" a="1"/>
  <c r="P37" i="1" s="1"/>
  <c r="P142" i="1" a="1"/>
  <c r="P142" i="1" s="1"/>
  <c r="P202" i="1" a="1"/>
  <c r="P202" i="1" s="1"/>
  <c r="P27" i="1" a="1"/>
  <c r="P27" i="1" s="1"/>
  <c r="P84" i="1" a="1"/>
  <c r="P84" i="1" s="1"/>
  <c r="P41" i="1" a="1"/>
  <c r="P41" i="1" s="1"/>
  <c r="P30" i="1" a="1"/>
  <c r="P30" i="1" s="1"/>
  <c r="P42" i="1" a="1"/>
  <c r="P42" i="1" s="1"/>
  <c r="P54" i="1" a="1"/>
  <c r="P54" i="1" s="1"/>
  <c r="P87" i="1" a="1"/>
  <c r="P87" i="1" s="1"/>
  <c r="P96" i="1" a="1"/>
  <c r="P96" i="1" s="1"/>
  <c r="P105" i="1" a="1"/>
  <c r="P105" i="1" s="1"/>
  <c r="P123" i="1" a="1"/>
  <c r="P123" i="1" s="1"/>
  <c r="P135" i="1" a="1"/>
  <c r="P135" i="1" s="1"/>
  <c r="P147" i="1" a="1"/>
  <c r="P147" i="1" s="1"/>
  <c r="P159" i="1" a="1"/>
  <c r="P159" i="1" s="1"/>
  <c r="P171" i="1" a="1"/>
  <c r="P171" i="1" s="1"/>
  <c r="P183" i="1" a="1"/>
  <c r="P183" i="1" s="1"/>
  <c r="P195" i="1" a="1"/>
  <c r="P195" i="1" s="1"/>
  <c r="P207" i="1" a="1"/>
  <c r="P207" i="1" s="1"/>
  <c r="P219" i="1" a="1"/>
  <c r="P219" i="1" s="1"/>
  <c r="P231" i="1" a="1"/>
  <c r="P231" i="1" s="1"/>
  <c r="P243" i="1" a="1"/>
  <c r="P243" i="1" s="1"/>
  <c r="P255" i="1" a="1"/>
  <c r="P255" i="1" s="1"/>
  <c r="P267" i="1" a="1"/>
  <c r="P267" i="1" s="1"/>
  <c r="P279" i="1" a="1"/>
  <c r="P279" i="1" s="1"/>
  <c r="P291" i="1" a="1"/>
  <c r="P291" i="1" s="1"/>
  <c r="P303" i="1" a="1"/>
  <c r="P303" i="1" s="1"/>
  <c r="P315" i="1" a="1"/>
  <c r="P315" i="1" s="1"/>
  <c r="P327" i="1" a="1"/>
  <c r="P327" i="1" s="1"/>
  <c r="P339" i="1" a="1"/>
  <c r="P339" i="1" s="1"/>
  <c r="P351" i="1" a="1"/>
  <c r="P351" i="1" s="1"/>
  <c r="P362" i="1" a="1"/>
  <c r="P362" i="1" s="1"/>
  <c r="P379" i="1" a="1"/>
  <c r="P379" i="1" s="1"/>
  <c r="P392" i="1" a="1"/>
  <c r="P392" i="1" s="1"/>
  <c r="P106" i="1" a="1"/>
  <c r="P106" i="1" s="1"/>
  <c r="P161" i="1" a="1"/>
  <c r="P161" i="1" s="1"/>
  <c r="P197" i="1" a="1"/>
  <c r="P197" i="1" s="1"/>
  <c r="P209" i="1" a="1"/>
  <c r="P209" i="1" s="1"/>
  <c r="P233" i="1" a="1"/>
  <c r="P233" i="1" s="1"/>
  <c r="P245" i="1" a="1"/>
  <c r="P245" i="1" s="1"/>
  <c r="P257" i="1" a="1"/>
  <c r="P257" i="1" s="1"/>
  <c r="P269" i="1" a="1"/>
  <c r="P269" i="1" s="1"/>
  <c r="P281" i="1" a="1"/>
  <c r="P281" i="1" s="1"/>
  <c r="P293" i="1" a="1"/>
  <c r="P293" i="1" s="1"/>
  <c r="P305" i="1" a="1"/>
  <c r="P305" i="1" s="1"/>
  <c r="P317" i="1" a="1"/>
  <c r="P317" i="1" s="1"/>
  <c r="P329" i="1" a="1"/>
  <c r="P329" i="1" s="1"/>
  <c r="P341" i="1" a="1"/>
  <c r="P341" i="1" s="1"/>
  <c r="P353" i="1" a="1"/>
  <c r="P353" i="1" s="1"/>
  <c r="P364" i="1" a="1"/>
  <c r="P364" i="1" s="1"/>
  <c r="P383" i="1" a="1"/>
  <c r="P383" i="1" s="1"/>
  <c r="P125" i="1" a="1"/>
  <c r="P125" i="1" s="1"/>
  <c r="P173" i="1" a="1"/>
  <c r="P173" i="1" s="1"/>
  <c r="P33" i="1" a="1"/>
  <c r="P33" i="1" s="1"/>
  <c r="P57" i="1" a="1"/>
  <c r="P57" i="1" s="1"/>
  <c r="P81" i="1" a="1"/>
  <c r="P81" i="1" s="1"/>
  <c r="P98" i="1" a="1"/>
  <c r="P98" i="1" s="1"/>
  <c r="P115" i="1" a="1"/>
  <c r="P115" i="1" s="1"/>
  <c r="P126" i="1" a="1"/>
  <c r="P126" i="1" s="1"/>
  <c r="P138" i="1" a="1"/>
  <c r="P138" i="1" s="1"/>
  <c r="P150" i="1" a="1"/>
  <c r="P150" i="1" s="1"/>
  <c r="P162" i="1" a="1"/>
  <c r="P162" i="1" s="1"/>
  <c r="P174" i="1" a="1"/>
  <c r="P174" i="1" s="1"/>
  <c r="P186" i="1" a="1"/>
  <c r="P186" i="1" s="1"/>
  <c r="P198" i="1" a="1"/>
  <c r="P198" i="1" s="1"/>
  <c r="P210" i="1" a="1"/>
  <c r="P210" i="1" s="1"/>
  <c r="P234" i="1" a="1"/>
  <c r="P234" i="1" s="1"/>
  <c r="P246" i="1" a="1"/>
  <c r="P246" i="1" s="1"/>
  <c r="P258" i="1" a="1"/>
  <c r="P258" i="1" s="1"/>
  <c r="P270" i="1" a="1"/>
  <c r="P270" i="1" s="1"/>
  <c r="P282" i="1" a="1"/>
  <c r="P282" i="1" s="1"/>
  <c r="P294" i="1" a="1"/>
  <c r="P294" i="1" s="1"/>
  <c r="P306" i="1" a="1"/>
  <c r="P306" i="1" s="1"/>
  <c r="P318" i="1" a="1"/>
  <c r="P318" i="1" s="1"/>
  <c r="P330" i="1" a="1"/>
  <c r="P330" i="1" s="1"/>
  <c r="P342" i="1" a="1"/>
  <c r="P342" i="1" s="1"/>
  <c r="P354" i="1" a="1"/>
  <c r="P354" i="1" s="1"/>
  <c r="P365" i="1" a="1"/>
  <c r="P365" i="1" s="1"/>
  <c r="P384" i="1" a="1"/>
  <c r="P384" i="1" s="1"/>
  <c r="P149" i="1" a="1"/>
  <c r="P149" i="1" s="1"/>
  <c r="P21" i="1" a="1"/>
  <c r="P21" i="1" s="1"/>
  <c r="P58" i="1" a="1"/>
  <c r="P58" i="1" s="1"/>
  <c r="P107" i="1" a="1"/>
  <c r="P107" i="1" s="1"/>
  <c r="P127" i="1" a="1"/>
  <c r="P127" i="1" s="1"/>
  <c r="P139" i="1" a="1"/>
  <c r="P139" i="1" s="1"/>
  <c r="P151" i="1" a="1"/>
  <c r="P151" i="1" s="1"/>
  <c r="P163" i="1" a="1"/>
  <c r="P163" i="1" s="1"/>
  <c r="P175" i="1" a="1"/>
  <c r="P175" i="1" s="1"/>
  <c r="P187" i="1" a="1"/>
  <c r="P187" i="1" s="1"/>
  <c r="P199" i="1" a="1"/>
  <c r="P199" i="1" s="1"/>
  <c r="P211" i="1" a="1"/>
  <c r="P211" i="1" s="1"/>
  <c r="P235" i="1" a="1"/>
  <c r="P235" i="1" s="1"/>
  <c r="P247" i="1" a="1"/>
  <c r="P247" i="1" s="1"/>
  <c r="P259" i="1" a="1"/>
  <c r="P259" i="1" s="1"/>
  <c r="P271" i="1" a="1"/>
  <c r="P271" i="1" s="1"/>
  <c r="P283" i="1" a="1"/>
  <c r="P283" i="1" s="1"/>
  <c r="P295" i="1" a="1"/>
  <c r="P295" i="1" s="1"/>
  <c r="P307" i="1" a="1"/>
  <c r="P307" i="1" s="1"/>
  <c r="P319" i="1" a="1"/>
  <c r="P319" i="1" s="1"/>
  <c r="P331" i="1" a="1"/>
  <c r="P331" i="1" s="1"/>
  <c r="P343" i="1" a="1"/>
  <c r="P343" i="1" s="1"/>
  <c r="P355" i="1" a="1"/>
  <c r="P355" i="1" s="1"/>
  <c r="P366" i="1" a="1"/>
  <c r="P366" i="1" s="1"/>
  <c r="P387" i="1" a="1"/>
  <c r="P387" i="1" s="1"/>
  <c r="P44" i="1" a="1"/>
  <c r="P44" i="1" s="1"/>
  <c r="P137" i="1" a="1"/>
  <c r="P137" i="1" s="1"/>
  <c r="P185" i="1" a="1"/>
  <c r="P185" i="1" s="1"/>
  <c r="P45" i="1" a="1"/>
  <c r="P45" i="1" s="1"/>
  <c r="P34" i="1" a="1"/>
  <c r="P34" i="1" s="1"/>
  <c r="P46" i="1" a="1"/>
  <c r="P46" i="1" s="1"/>
  <c r="P90" i="1" a="1"/>
  <c r="P90" i="1" s="1"/>
  <c r="P23" i="1" a="1"/>
  <c r="P23" i="1" s="1"/>
  <c r="P35" i="1" a="1"/>
  <c r="P35" i="1" s="1"/>
  <c r="P47" i="1" a="1"/>
  <c r="P47" i="1" s="1"/>
  <c r="P59" i="1" a="1"/>
  <c r="P59" i="1" s="1"/>
  <c r="P82" i="1" a="1"/>
  <c r="P82" i="1" s="1"/>
  <c r="P99" i="1" a="1"/>
  <c r="P99" i="1" s="1"/>
  <c r="P116" i="1" a="1"/>
  <c r="P116" i="1" s="1"/>
  <c r="P128" i="1" a="1"/>
  <c r="P128" i="1" s="1"/>
  <c r="P140" i="1" a="1"/>
  <c r="P140" i="1" s="1"/>
  <c r="P152" i="1" a="1"/>
  <c r="P152" i="1" s="1"/>
  <c r="P164" i="1" a="1"/>
  <c r="P164" i="1" s="1"/>
  <c r="P176" i="1" a="1"/>
  <c r="P176" i="1" s="1"/>
  <c r="P188" i="1" a="1"/>
  <c r="P188" i="1" s="1"/>
  <c r="P200" i="1" a="1"/>
  <c r="P200" i="1" s="1"/>
  <c r="P212" i="1" a="1"/>
  <c r="P212" i="1" s="1"/>
  <c r="P236" i="1" a="1"/>
  <c r="P236" i="1" s="1"/>
  <c r="P248" i="1" a="1"/>
  <c r="P248" i="1" s="1"/>
  <c r="P260" i="1" a="1"/>
  <c r="P260" i="1" s="1"/>
  <c r="P272" i="1" a="1"/>
  <c r="P272" i="1" s="1"/>
  <c r="P284" i="1" a="1"/>
  <c r="P284" i="1" s="1"/>
  <c r="P296" i="1" a="1"/>
  <c r="P296" i="1" s="1"/>
  <c r="P308" i="1" a="1"/>
  <c r="P308" i="1" s="1"/>
  <c r="P320" i="1" a="1"/>
  <c r="P320" i="1" s="1"/>
  <c r="P332" i="1" a="1"/>
  <c r="P332" i="1" s="1"/>
  <c r="P344" i="1" a="1"/>
  <c r="P344" i="1" s="1"/>
  <c r="P356" i="1" a="1"/>
  <c r="P356" i="1" s="1"/>
  <c r="P369" i="1" a="1"/>
  <c r="P369" i="1" s="1"/>
  <c r="P388" i="1" a="1"/>
  <c r="P388" i="1" s="1"/>
  <c r="P89" i="1" a="1"/>
  <c r="P89" i="1" s="1"/>
  <c r="P24" i="1" a="1"/>
  <c r="P24" i="1" s="1"/>
  <c r="P36" i="1" a="1"/>
  <c r="P36" i="1" s="1"/>
  <c r="P48" i="1" a="1"/>
  <c r="P48" i="1" s="1"/>
  <c r="P60" i="1" a="1"/>
  <c r="P60" i="1" s="1"/>
  <c r="P91" i="1" a="1"/>
  <c r="P91" i="1" s="1"/>
  <c r="P108" i="1" a="1"/>
  <c r="P108" i="1" s="1"/>
  <c r="P117" i="1" a="1"/>
  <c r="P117" i="1" s="1"/>
  <c r="P129" i="1" a="1"/>
  <c r="P129" i="1" s="1"/>
  <c r="P141" i="1" a="1"/>
  <c r="P141" i="1" s="1"/>
  <c r="P153" i="1" a="1"/>
  <c r="P153" i="1" s="1"/>
  <c r="P165" i="1" a="1"/>
  <c r="P165" i="1" s="1"/>
  <c r="P177" i="1" a="1"/>
  <c r="P177" i="1" s="1"/>
  <c r="P189" i="1" a="1"/>
  <c r="P189" i="1" s="1"/>
  <c r="P201" i="1" a="1"/>
  <c r="P201" i="1" s="1"/>
  <c r="P213" i="1" a="1"/>
  <c r="P213" i="1" s="1"/>
  <c r="P237" i="1" a="1"/>
  <c r="P237" i="1" s="1"/>
  <c r="P249" i="1" a="1"/>
  <c r="P249" i="1" s="1"/>
  <c r="P261" i="1" a="1"/>
  <c r="P261" i="1" s="1"/>
  <c r="P273" i="1" a="1"/>
  <c r="P273" i="1" s="1"/>
  <c r="P285" i="1" a="1"/>
  <c r="P285" i="1" s="1"/>
  <c r="P297" i="1" a="1"/>
  <c r="P297" i="1" s="1"/>
  <c r="P309" i="1" a="1"/>
  <c r="P309" i="1" s="1"/>
  <c r="P321" i="1" a="1"/>
  <c r="P321" i="1" s="1"/>
  <c r="P333" i="1" a="1"/>
  <c r="P333" i="1" s="1"/>
  <c r="P345" i="1" a="1"/>
  <c r="P345" i="1" s="1"/>
  <c r="P357" i="1" a="1"/>
  <c r="P357" i="1" s="1"/>
  <c r="P391" i="1" a="1"/>
  <c r="P391" i="1" s="1"/>
  <c r="P25" i="1" a="1"/>
  <c r="P25" i="1" s="1"/>
  <c r="P118" i="1" a="1"/>
  <c r="P118" i="1" s="1"/>
  <c r="P190" i="1" a="1"/>
  <c r="P190" i="1" s="1"/>
  <c r="P238" i="1" a="1"/>
  <c r="P238" i="1" s="1"/>
  <c r="P250" i="1" a="1"/>
  <c r="P250" i="1" s="1"/>
  <c r="P262" i="1" a="1"/>
  <c r="P262" i="1" s="1"/>
  <c r="P274" i="1" a="1"/>
  <c r="P274" i="1" s="1"/>
  <c r="P286" i="1" a="1"/>
  <c r="P286" i="1" s="1"/>
  <c r="P298" i="1" a="1"/>
  <c r="P298" i="1" s="1"/>
  <c r="P310" i="1" a="1"/>
  <c r="P310" i="1" s="1"/>
  <c r="P334" i="1" a="1"/>
  <c r="P334" i="1" s="1"/>
  <c r="P346" i="1" a="1"/>
  <c r="P346" i="1" s="1"/>
  <c r="P358" i="1" a="1"/>
  <c r="P358" i="1" s="1"/>
  <c r="P370" i="1" a="1"/>
  <c r="P370" i="1" s="1"/>
  <c r="P395" i="1" a="1"/>
  <c r="P395" i="1" s="1"/>
  <c r="P56" i="1" a="1"/>
  <c r="P56" i="1" s="1"/>
  <c r="P109" i="1" a="1"/>
  <c r="P109" i="1" s="1"/>
  <c r="P178" i="1" a="1"/>
  <c r="P178" i="1" s="1"/>
  <c r="P26" i="1" a="1"/>
  <c r="P26" i="1" s="1"/>
  <c r="P50" i="1" a="1"/>
  <c r="P50" i="1" s="1"/>
  <c r="P92" i="1" a="1"/>
  <c r="P92" i="1" s="1"/>
  <c r="P101" i="1" a="1"/>
  <c r="P101" i="1" s="1"/>
  <c r="P110" i="1" a="1"/>
  <c r="P110" i="1" s="1"/>
  <c r="P119" i="1" a="1"/>
  <c r="P119" i="1" s="1"/>
  <c r="P131" i="1" a="1"/>
  <c r="P131" i="1" s="1"/>
  <c r="P143" i="1" a="1"/>
  <c r="P143" i="1" s="1"/>
  <c r="P155" i="1" a="1"/>
  <c r="P155" i="1" s="1"/>
  <c r="P167" i="1" a="1"/>
  <c r="P167" i="1" s="1"/>
  <c r="P179" i="1" a="1"/>
  <c r="P179" i="1" s="1"/>
  <c r="P191" i="1" a="1"/>
  <c r="P191" i="1" s="1"/>
  <c r="P203" i="1" a="1"/>
  <c r="P203" i="1" s="1"/>
  <c r="P215" i="1" a="1"/>
  <c r="P215" i="1" s="1"/>
  <c r="P239" i="1" a="1"/>
  <c r="P239" i="1" s="1"/>
  <c r="P251" i="1" a="1"/>
  <c r="P251" i="1" s="1"/>
  <c r="P263" i="1" a="1"/>
  <c r="P263" i="1" s="1"/>
  <c r="P275" i="1" a="1"/>
  <c r="P275" i="1" s="1"/>
  <c r="P287" i="1" a="1"/>
  <c r="P287" i="1" s="1"/>
  <c r="P299" i="1" a="1"/>
  <c r="P299" i="1" s="1"/>
  <c r="P311" i="1" a="1"/>
  <c r="P311" i="1" s="1"/>
  <c r="P323" i="1" a="1"/>
  <c r="P323" i="1" s="1"/>
  <c r="P335" i="1" a="1"/>
  <c r="P335" i="1" s="1"/>
  <c r="P347" i="1" a="1"/>
  <c r="P347" i="1" s="1"/>
  <c r="P371" i="1" a="1"/>
  <c r="P371" i="1" s="1"/>
  <c r="P49" i="1" a="1"/>
  <c r="P49" i="1" s="1"/>
  <c r="P166" i="1" a="1"/>
  <c r="P166" i="1" s="1"/>
  <c r="P38" i="1" a="1"/>
  <c r="P38" i="1" s="1"/>
  <c r="P93" i="1" a="1"/>
  <c r="P93" i="1" s="1"/>
  <c r="P111" i="1" a="1"/>
  <c r="P111" i="1" s="1"/>
  <c r="P132" i="1" a="1"/>
  <c r="P132" i="1" s="1"/>
  <c r="P144" i="1" a="1"/>
  <c r="P144" i="1" s="1"/>
  <c r="P156" i="1" a="1"/>
  <c r="P156" i="1" s="1"/>
  <c r="P168" i="1" a="1"/>
  <c r="P168" i="1" s="1"/>
  <c r="P180" i="1" a="1"/>
  <c r="P180" i="1" s="1"/>
  <c r="P192" i="1" a="1"/>
  <c r="P192" i="1" s="1"/>
  <c r="P204" i="1" a="1"/>
  <c r="P204" i="1" s="1"/>
  <c r="P216" i="1" a="1"/>
  <c r="P216" i="1" s="1"/>
  <c r="P240" i="1" a="1"/>
  <c r="P240" i="1" s="1"/>
  <c r="P252" i="1" a="1"/>
  <c r="P252" i="1" s="1"/>
  <c r="P264" i="1" a="1"/>
  <c r="P264" i="1" s="1"/>
  <c r="P276" i="1" a="1"/>
  <c r="P276" i="1" s="1"/>
  <c r="P288" i="1" a="1"/>
  <c r="P288" i="1" s="1"/>
  <c r="P300" i="1" a="1"/>
  <c r="P300" i="1" s="1"/>
  <c r="P312" i="1" a="1"/>
  <c r="P312" i="1" s="1"/>
  <c r="P324" i="1" a="1"/>
  <c r="P324" i="1" s="1"/>
  <c r="P336" i="1" a="1"/>
  <c r="P336" i="1" s="1"/>
  <c r="P348" i="1" a="1"/>
  <c r="P348" i="1" s="1"/>
  <c r="P359" i="1" a="1"/>
  <c r="P359" i="1" s="1"/>
  <c r="P372" i="1" a="1"/>
  <c r="P372" i="1" s="1"/>
  <c r="P32" i="1" a="1"/>
  <c r="P32" i="1" s="1"/>
  <c r="P100" i="1" a="1"/>
  <c r="P100" i="1" s="1"/>
  <c r="P154" i="1" a="1"/>
  <c r="P154" i="1" s="1"/>
  <c r="P51" i="1" a="1"/>
  <c r="P51" i="1" s="1"/>
  <c r="P102" i="1" a="1"/>
  <c r="P102" i="1" s="1"/>
  <c r="P120" i="1" a="1"/>
  <c r="P120" i="1" s="1"/>
  <c r="P28" i="1" a="1"/>
  <c r="P28" i="1" s="1"/>
  <c r="P40" i="1" a="1"/>
  <c r="P40" i="1" s="1"/>
  <c r="P52" i="1" a="1"/>
  <c r="P52" i="1" s="1"/>
  <c r="P85" i="1" a="1"/>
  <c r="P85" i="1" s="1"/>
  <c r="P94" i="1" a="1"/>
  <c r="P94" i="1" s="1"/>
  <c r="P103" i="1" a="1"/>
  <c r="P103" i="1" s="1"/>
  <c r="P112" i="1" a="1"/>
  <c r="P112" i="1" s="1"/>
  <c r="P121" i="1" a="1"/>
  <c r="P121" i="1" s="1"/>
  <c r="P133" i="1" a="1"/>
  <c r="P133" i="1" s="1"/>
  <c r="P145" i="1" a="1"/>
  <c r="P145" i="1" s="1"/>
  <c r="P157" i="1" a="1"/>
  <c r="P157" i="1" s="1"/>
  <c r="P169" i="1" a="1"/>
  <c r="P169" i="1" s="1"/>
  <c r="P181" i="1" a="1"/>
  <c r="P181" i="1" s="1"/>
  <c r="P193" i="1" a="1"/>
  <c r="P193" i="1" s="1"/>
  <c r="P205" i="1" a="1"/>
  <c r="P205" i="1" s="1"/>
  <c r="P217" i="1" a="1"/>
  <c r="P217" i="1" s="1"/>
  <c r="P241" i="1" a="1"/>
  <c r="P241" i="1" s="1"/>
  <c r="P253" i="1" a="1"/>
  <c r="P253" i="1" s="1"/>
  <c r="P265" i="1" a="1"/>
  <c r="P265" i="1" s="1"/>
  <c r="P277" i="1" a="1"/>
  <c r="P277" i="1" s="1"/>
  <c r="P289" i="1" a="1"/>
  <c r="P289" i="1" s="1"/>
  <c r="P301" i="1" a="1"/>
  <c r="P301" i="1" s="1"/>
  <c r="P313" i="1" a="1"/>
  <c r="P313" i="1" s="1"/>
  <c r="P325" i="1" a="1"/>
  <c r="P325" i="1" s="1"/>
  <c r="P337" i="1" a="1"/>
  <c r="P337" i="1" s="1"/>
  <c r="P349" i="1" a="1"/>
  <c r="P349" i="1" s="1"/>
  <c r="P360" i="1" a="1"/>
  <c r="P360" i="1" s="1"/>
  <c r="P396" i="1" a="1"/>
  <c r="P396" i="1" s="1"/>
  <c r="P367" i="1" a="1"/>
  <c r="P367" i="1" s="1"/>
  <c r="P368" i="1" a="1"/>
  <c r="P368" i="1" s="1"/>
  <c r="P399" i="1" a="1"/>
  <c r="P399" i="1" s="1"/>
  <c r="P400" i="1" a="1"/>
  <c r="P400" i="1" s="1"/>
  <c r="P373" i="1" a="1"/>
  <c r="P373" i="1" s="1"/>
  <c r="P377" i="1" a="1"/>
  <c r="P377" i="1" s="1"/>
  <c r="P381" i="1" a="1"/>
  <c r="P381" i="1" s="1"/>
  <c r="P385" i="1" a="1"/>
  <c r="P385" i="1" s="1"/>
  <c r="P389" i="1" a="1"/>
  <c r="P389" i="1" s="1"/>
  <c r="P393" i="1" a="1"/>
  <c r="P393" i="1" s="1"/>
  <c r="P397" i="1" a="1"/>
  <c r="P397" i="1" s="1"/>
  <c r="P374" i="1" a="1"/>
  <c r="P374" i="1" s="1"/>
  <c r="P378" i="1" a="1"/>
  <c r="P378" i="1" s="1"/>
  <c r="P382" i="1" a="1"/>
  <c r="P382" i="1" s="1"/>
  <c r="P386" i="1" a="1"/>
  <c r="P386" i="1" s="1"/>
  <c r="P390" i="1" a="1"/>
  <c r="P390" i="1" s="1"/>
  <c r="P394" i="1" a="1"/>
  <c r="P394" i="1" s="1"/>
  <c r="P398" i="1" a="1"/>
  <c r="P3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tc={2405EC99-8C6B-4E5F-B5E3-B105D7F39D69}</author>
    <author>tc={AEC12CA6-977A-454B-82F8-48BD1E36DE15}</author>
    <author>tc={56B62DAA-744A-446C-A5C6-3BC6B6DE8999}</author>
    <author>tc={07EA405E-AF89-4B34-968B-E4ACB2EF6941}</author>
    <author>tc={DA23FB75-E964-45EA-B5B2-F4F1FF236152}</author>
    <author>tc={3600AC4C-45CB-462E-B546-AF9289F4C335}</author>
    <author>tc={806202FA-8B7D-43BF-9A40-29BDD4D234D6}</author>
    <author>tc={60B4709F-079A-437E-A86B-D78F27DB2B83}</author>
    <author>tc={B2ABF469-B823-4066-B339-852723874854}</author>
    <author>tc={DBE3E5F2-08DD-4505-968E-ED9E8D7E6F47}</author>
    <author>tc={CFFF9C10-2EBE-4A12-9B95-6B7179DD05D0}</author>
    <author>tc={5665E767-3EC5-43D6-A81A-9626451C89BE}</author>
    <author>tc={9BE71F41-FE6A-4618-8EC1-B90FE8C22229}</author>
    <author>tc={A217EB10-F53C-4ADE-A439-361F9E62714E}</author>
  </authors>
  <commentList>
    <comment ref="B8" authorId="0" shapeId="0" xr:uid="{2405EC99-8C6B-4E5F-B5E3-B105D7F39D69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请选用下拉菜单中订单类别</t>
      </text>
    </comment>
    <comment ref="B12" authorId="1" shapeId="0" xr:uid="{AEC12CA6-977A-454B-82F8-48BD1E36DE15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请选用下拉菜单中交付形式</t>
      </text>
    </comment>
    <comment ref="B17" authorId="2" shapeId="0" xr:uid="{56B62DAA-744A-446C-A5C6-3BC6B6DE8999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请选用下拉菜单中发票类型</t>
      </text>
    </comment>
    <comment ref="F18" authorId="3" shapeId="0" xr:uid="{07EA405E-AF89-4B34-968B-E4ACB2EF6941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</t>
      </text>
    </comment>
    <comment ref="G18" authorId="4" shapeId="0" xr:uid="{DA23FB75-E964-45EA-B5B2-F4F1FF236152}">
      <text>
        <t>[线程批注]
你的Excel版本可读取此线程批注; 但如果在更新版本的Excel中打开文件，则对批注所作的任何改动都将被删除。了解详细信息: https://go.microsoft.com/fwlink/?linkid=870924
注释:
    请勿修改公式</t>
      </text>
    </comment>
    <comment ref="I18" authorId="5" shapeId="0" xr:uid="{3600AC4C-45CB-462E-B546-AF9289F4C335}">
      <text>
        <t>[线程批注]
你的Excel版本可读取此线程批注; 但如果在更新版本的Excel中打开文件，则对批注所作的任何改动都将被删除。了解详细信息: https://go.microsoft.com/fwlink/?linkid=870924
注释:
    请勿修改公式</t>
      </text>
    </comment>
    <comment ref="B19" authorId="6" shapeId="0" xr:uid="{806202FA-8B7D-43BF-9A40-29BDD4D234D6}">
      <text>
        <t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</t>
      </text>
    </comment>
    <comment ref="E19" authorId="7" shapeId="0" xr:uid="{60B4709F-079A-437E-A86B-D78F27DB2B83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请选用下拉菜单中的纯化方式</t>
      </text>
    </comment>
    <comment ref="F19" authorId="8" shapeId="0" xr:uid="{B2ABF469-B823-4066-B339-85272387485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G19" authorId="9" shapeId="0" xr:uid="{DBE3E5F2-08DD-4505-968E-ED9E8D7E6F47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请选用下拉菜单中修饰代号</t>
      </text>
    </comment>
    <comment ref="K19" authorId="10" shapeId="0" xr:uid="{CFFF9C10-2EBE-4A12-9B95-6B7179DD05D0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请选用下拉菜单中标签类型：
引物建议用透明标签；
探针建议用白色标签</t>
      </text>
    </comment>
    <comment ref="L19" authorId="11" shapeId="0" xr:uid="{5665E767-3EC5-43D6-A81A-9626451C89BE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请选用下拉菜单中离心管类型：小于等于20 0D建议装1.5/2ml管子；
20-50 0D建议装5ml管；
大于等于50 OD建议装50ML管。</t>
      </text>
    </comment>
    <comment ref="M19" authorId="12" shapeId="0" xr:uid="{9BE71F41-FE6A-4618-8EC1-B90FE8C22229}">
      <text>
        <t>[线程批注]
你的Excel版本可读取此线程批注; 但如果在更新版本的Excel中打开文件，则对批注所作的任何改动都将被删除。了解详细信息: https://go.microsoft.com/fwlink/?linkid=870924
注释:
    液体交付，请选用下拉菜单中溶解体系及溶解浓度。干粉交付不用填写</t>
      </text>
    </comment>
    <comment ref="N19" authorId="13" shapeId="0" xr:uid="{A217EB10-F53C-4ADE-A439-361F9E62714E}">
      <text>
        <t>[线程批注]
你的Excel版本可读取此线程批注; 但如果在更新版本的Excel中打开文件，则对批注所作的任何改动都将被删除。了解详细信息: https://go.microsoft.com/fwlink/?linkid=870924
注释:
    请选用下拉菜单中检验报告类型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71" authorId="0" shapeId="0" xr:uid="{C91A6BF4-4C58-4ECA-BDC5-6D2DAD16527C}">
      <text>
        <r>
          <rPr>
            <sz val="9"/>
            <color indexed="81"/>
            <rFont val="宋体"/>
            <family val="3"/>
            <charset val="134"/>
          </rPr>
          <t>水溶性CY5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tc={0ACCDAEF-77FF-4C79-8A20-5D052FAA4E68}</author>
    <author>tc={C1F7A6C8-7914-466C-AAB9-25027775E447}</author>
    <author>tc={B7CF2F43-7650-4A5B-A2AE-27E638D0C8F4}</author>
    <author>tc={3F26474D-16AC-4C87-8183-84D2BC66B5C2}</author>
    <author>tc={014FFB8B-2F6D-4C25-8A88-CD838CAD4B3E}</author>
    <author>tc={337FEB40-CB39-49DF-8DF9-9E43667AA745}</author>
    <author>tc={EE5263E3-33A7-458A-9672-24F1E85F8C1E}</author>
    <author>tc={ADEF7E1D-E745-43F2-91B9-8ECF743B602A}</author>
    <author>tc={DAD81D54-1A2A-4C0C-9179-3245B5C093C6}</author>
    <author>tc={49F20490-7631-45ED-9046-6BAF35CD664C}</author>
    <author>tc={8787DF75-ECFF-43E2-8D06-B3699E0D52DC}</author>
    <author>tc={870031D7-2EA4-42FC-B7BA-41DE96A06EF7}</author>
    <author>tc={05D1000D-65C6-4693-ADD4-25832720BCD2}</author>
    <author>tc={9FF91FB3-F2AD-4FE4-BC05-91FC68F34E6F}</author>
    <author>tc={34A90F52-3A2D-4540-9B4B-B5F9134796C7}</author>
  </authors>
  <commentList>
    <comment ref="A16" authorId="0" shapeId="0" xr:uid="{0ACCDAEF-77FF-4C79-8A20-5D052FAA4E68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
</t>
      </text>
    </comment>
    <comment ref="E16" authorId="1" shapeId="0" xr:uid="{C1F7A6C8-7914-466C-AAB9-25027775E44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F16" authorId="2" shapeId="0" xr:uid="{B7CF2F43-7650-4A5B-A2AE-27E638D0C8F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A26" authorId="3" shapeId="0" xr:uid="{3F26474D-16AC-4C87-8183-84D2BC66B5C2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
</t>
      </text>
    </comment>
    <comment ref="E26" authorId="4" shapeId="0" xr:uid="{014FFB8B-2F6D-4C25-8A88-CD838CAD4B3E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F26" authorId="5" shapeId="0" xr:uid="{337FEB40-CB39-49DF-8DF9-9E43667AA745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A36" authorId="6" shapeId="0" xr:uid="{EE5263E3-33A7-458A-9672-24F1E85F8C1E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
</t>
      </text>
    </comment>
    <comment ref="E36" authorId="7" shapeId="0" xr:uid="{ADEF7E1D-E745-43F2-91B9-8ECF743B602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F36" authorId="8" shapeId="0" xr:uid="{DAD81D54-1A2A-4C0C-9179-3245B5C093C6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A46" authorId="9" shapeId="0" xr:uid="{49F20490-7631-45ED-9046-6BAF35CD664C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
</t>
      </text>
    </comment>
    <comment ref="E46" authorId="10" shapeId="0" xr:uid="{8787DF75-ECFF-43E2-8D06-B3699E0D52DC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F46" authorId="11" shapeId="0" xr:uid="{870031D7-2EA4-42FC-B7BA-41DE96A06EF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A57" authorId="12" shapeId="0" xr:uid="{05D1000D-65C6-4693-ADD4-25832720BCD2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仅限在我司保密邮箱或系统中备注有固定信息的客户填写！
</t>
      </text>
    </comment>
    <comment ref="E57" authorId="13" shapeId="0" xr:uid="{9FF91FB3-F2AD-4FE4-BC05-91FC68F34E6F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  <comment ref="F57" authorId="14" shapeId="0" xr:uid="{34A90F52-3A2D-4540-9B4B-B5F9134796C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请选用下拉菜单中修饰代号
</t>
      </text>
    </comment>
  </commentList>
</comments>
</file>

<file path=xl/sharedStrings.xml><?xml version="1.0" encoding="utf-8"?>
<sst xmlns="http://schemas.openxmlformats.org/spreadsheetml/2006/main" count="1320" uniqueCount="981">
  <si>
    <t>PCR</t>
  </si>
  <si>
    <t>ID*</t>
  </si>
  <si>
    <t>客户固定编号</t>
  </si>
  <si>
    <t>引物名称</t>
  </si>
  <si>
    <t>引物序列(5'to3')</t>
  </si>
  <si>
    <t>纯化方式</t>
  </si>
  <si>
    <t>5'修饰</t>
  </si>
  <si>
    <t>3'修饰</t>
  </si>
  <si>
    <t>分装管数</t>
  </si>
  <si>
    <t>每管nmoles</t>
  </si>
  <si>
    <t>标签类型</t>
  </si>
  <si>
    <t>离心管类型</t>
  </si>
  <si>
    <t>溶解浓度（uM)</t>
  </si>
  <si>
    <t>检验报告类型</t>
  </si>
  <si>
    <t>备注</t>
  </si>
  <si>
    <t>碱基数</t>
  </si>
  <si>
    <t>DNA修饰</t>
  </si>
  <si>
    <t>RNA修饰</t>
  </si>
  <si>
    <t>中间修饰</t>
  </si>
  <si>
    <t>代码</t>
  </si>
  <si>
    <t>修饰碱基</t>
  </si>
  <si>
    <t>常用兼并碱基代码</t>
  </si>
  <si>
    <t>2`-O-Methyl A</t>
  </si>
  <si>
    <t>/i2OMeA/</t>
  </si>
  <si>
    <t>A</t>
  </si>
  <si>
    <t>M:(A/C)</t>
  </si>
  <si>
    <t>V:(A/C/G)</t>
  </si>
  <si>
    <t>dA</t>
  </si>
  <si>
    <t>2`-O-Methyl B</t>
  </si>
  <si>
    <t>/i2OMeB/</t>
  </si>
  <si>
    <t>B</t>
  </si>
  <si>
    <t>R:(A/G)</t>
  </si>
  <si>
    <t>H:(A/C/T)</t>
  </si>
  <si>
    <t>dG</t>
  </si>
  <si>
    <t>H:(A/C/U)</t>
  </si>
  <si>
    <t>2`-O-Methyl C</t>
  </si>
  <si>
    <t>/i2OMeC/</t>
  </si>
  <si>
    <t>C</t>
  </si>
  <si>
    <t>W:(A/T)</t>
  </si>
  <si>
    <t>D:(A/G/T)</t>
  </si>
  <si>
    <t>dC</t>
  </si>
  <si>
    <t>W:(A/U)</t>
  </si>
  <si>
    <t>D:(A/G/U)</t>
  </si>
  <si>
    <t>2`-O-Methyl D</t>
  </si>
  <si>
    <t>/i2OMeD/</t>
  </si>
  <si>
    <t>D</t>
  </si>
  <si>
    <t>S:(C/G)</t>
  </si>
  <si>
    <t>B:(C/G/T)</t>
  </si>
  <si>
    <t>dT</t>
  </si>
  <si>
    <t>B:(C/G/U)</t>
  </si>
  <si>
    <t>2`-O-Methyl G</t>
  </si>
  <si>
    <t>/i2OMeG/</t>
  </si>
  <si>
    <t>G</t>
  </si>
  <si>
    <t>Y:(C/T)</t>
  </si>
  <si>
    <t>N:(A/G/C/T)</t>
  </si>
  <si>
    <t>LNA-A</t>
  </si>
  <si>
    <t>+A</t>
  </si>
  <si>
    <t>Y:(C/U)</t>
  </si>
  <si>
    <t>N:(A/G/C/U)</t>
  </si>
  <si>
    <t>2`-O-Methyl H</t>
  </si>
  <si>
    <t>/i2OMeH/</t>
  </si>
  <si>
    <t>H</t>
  </si>
  <si>
    <t>K:(G/T)</t>
  </si>
  <si>
    <t>LNA-C</t>
  </si>
  <si>
    <t>+C</t>
  </si>
  <si>
    <t>K:(G/U)</t>
  </si>
  <si>
    <t>2`-O-Methyl K</t>
  </si>
  <si>
    <t>/i2OMeK/</t>
  </si>
  <si>
    <t>K</t>
  </si>
  <si>
    <t>LNA-G</t>
  </si>
  <si>
    <t>+G</t>
  </si>
  <si>
    <t>2`-O-Methyl M</t>
  </si>
  <si>
    <t>/i2OMeM/</t>
  </si>
  <si>
    <t>M</t>
  </si>
  <si>
    <t>LNA-U</t>
  </si>
  <si>
    <t>+T</t>
  </si>
  <si>
    <t>2`-O-Methyl N</t>
  </si>
  <si>
    <t>/i2OMeN/</t>
  </si>
  <si>
    <t>N</t>
  </si>
  <si>
    <t>2`-O-Methyl R</t>
  </si>
  <si>
    <t>/i2OMeR/</t>
  </si>
  <si>
    <t>R</t>
  </si>
  <si>
    <t>2`-O-Methyl S</t>
  </si>
  <si>
    <t>/i2OMeS/</t>
  </si>
  <si>
    <t>S</t>
  </si>
  <si>
    <t>2`-O-Methyl U</t>
  </si>
  <si>
    <t>/i2OMeU/</t>
  </si>
  <si>
    <t>U</t>
  </si>
  <si>
    <t>2`-O-Methyl V</t>
  </si>
  <si>
    <t>/i2OMeV/</t>
  </si>
  <si>
    <t>V</t>
  </si>
  <si>
    <t>2`-O-Methyl W</t>
  </si>
  <si>
    <t>/i2OMeW/</t>
  </si>
  <si>
    <t>W</t>
  </si>
  <si>
    <t>2`-O-Methyl Y</t>
  </si>
  <si>
    <t>/i2OMeY/</t>
  </si>
  <si>
    <t>Y</t>
  </si>
  <si>
    <t>2F-RNA A</t>
  </si>
  <si>
    <t>/i2FA/</t>
  </si>
  <si>
    <t>2F-RNA C</t>
  </si>
  <si>
    <t>/i2FC/</t>
  </si>
  <si>
    <t>2F-RNA G</t>
  </si>
  <si>
    <t>/i2FG/</t>
  </si>
  <si>
    <t>2F-RNA U</t>
  </si>
  <si>
    <t>/i2FU/</t>
  </si>
  <si>
    <t>5-Hydroxmethyl dC</t>
  </si>
  <si>
    <t>/i5HydMe-dC/</t>
  </si>
  <si>
    <t>5-Methyl dC</t>
  </si>
  <si>
    <t>/i5MedC/</t>
  </si>
  <si>
    <t>Int dSpacer</t>
  </si>
  <si>
    <t>/idSp/</t>
  </si>
  <si>
    <t>Int 6-FAM dT</t>
  </si>
  <si>
    <t>/i6FAMdT/</t>
  </si>
  <si>
    <t>T</t>
  </si>
  <si>
    <t>Int AF488 dT</t>
  </si>
  <si>
    <t>/iAF488dT/</t>
  </si>
  <si>
    <t>Int Amino Modifier C6 dT</t>
  </si>
  <si>
    <t>/iAmMC6T/</t>
  </si>
  <si>
    <t>Int BHQ1 dT</t>
  </si>
  <si>
    <t>/iBHQ1dT/</t>
  </si>
  <si>
    <t>Int BHQ2 dT</t>
  </si>
  <si>
    <t>/iBHQ2dT/</t>
  </si>
  <si>
    <t>Int Biotin dT</t>
  </si>
  <si>
    <t>/iBiodT/</t>
  </si>
  <si>
    <t>Int CHCH dT</t>
  </si>
  <si>
    <t>/iCHCHdT/</t>
  </si>
  <si>
    <t>Int Cy3 dT</t>
  </si>
  <si>
    <t>/iCy3dT/</t>
  </si>
  <si>
    <t>Int Cy5 dT</t>
  </si>
  <si>
    <t>/iCy5dT/</t>
  </si>
  <si>
    <t>Int Dabcyl dT</t>
  </si>
  <si>
    <t>/iDABdT/</t>
  </si>
  <si>
    <t>Int Dig dT</t>
  </si>
  <si>
    <t>/iDigdT/</t>
  </si>
  <si>
    <t>Int Ferrocene</t>
  </si>
  <si>
    <t>/iMFEdT/</t>
  </si>
  <si>
    <t>Int FITC dT</t>
  </si>
  <si>
    <t>/iFTICdT/</t>
  </si>
  <si>
    <t>Int HEX dT</t>
  </si>
  <si>
    <t>/iHEXdT/</t>
  </si>
  <si>
    <t>Int JOE dT</t>
  </si>
  <si>
    <t>/iJOEdT/</t>
  </si>
  <si>
    <t>Int ROX dT</t>
  </si>
  <si>
    <t>/iROXdT/</t>
  </si>
  <si>
    <t>Int TAMRA dT</t>
  </si>
  <si>
    <t>/iTAMdT/</t>
  </si>
  <si>
    <t>Int TET dT</t>
  </si>
  <si>
    <t>/iTETdT/</t>
  </si>
  <si>
    <t>Int Texas Red dT</t>
  </si>
  <si>
    <t>/iTexRddT/</t>
  </si>
  <si>
    <t xml:space="preserve">Phosphorothioate </t>
  </si>
  <si>
    <t>*</t>
  </si>
  <si>
    <t>Spacer 18</t>
  </si>
  <si>
    <t>/iSp18/</t>
  </si>
  <si>
    <t>Spacer 9</t>
  </si>
  <si>
    <t>/iSp9/</t>
  </si>
  <si>
    <t xml:space="preserve">Spacer C12 </t>
  </si>
  <si>
    <t>/iSpC12/</t>
  </si>
  <si>
    <t xml:space="preserve">Spacer C3 </t>
  </si>
  <si>
    <t>/iSpC3/</t>
  </si>
  <si>
    <t xml:space="preserve">Spacer C6 </t>
  </si>
  <si>
    <t>/iSp6/</t>
  </si>
  <si>
    <t>deoxyInosine (dI)</t>
  </si>
  <si>
    <t>I</t>
  </si>
  <si>
    <t>deoxyUridine (dU)</t>
  </si>
  <si>
    <t>LNA-T</t>
  </si>
  <si>
    <t>RNA-A</t>
  </si>
  <si>
    <t>rA</t>
  </si>
  <si>
    <t>RNA-C</t>
  </si>
  <si>
    <t>rC</t>
  </si>
  <si>
    <t>RNA-G</t>
  </si>
  <si>
    <t>rG</t>
  </si>
  <si>
    <t>RNA-U</t>
  </si>
  <si>
    <t>rU</t>
  </si>
  <si>
    <t>8-OXO-dG</t>
  </si>
  <si>
    <t>/8OXOdG/</t>
  </si>
  <si>
    <t>Int VIC dT</t>
  </si>
  <si>
    <t>/iVICdT/</t>
  </si>
  <si>
    <t>N6-Me-dA</t>
  </si>
  <si>
    <t>/N6MedA/</t>
  </si>
  <si>
    <t>5'6-FAM</t>
  </si>
  <si>
    <t>/56-FAM/</t>
  </si>
  <si>
    <t>/3SQ1/</t>
  </si>
  <si>
    <t>5'HEX</t>
  </si>
  <si>
    <t>/5HEX/</t>
  </si>
  <si>
    <t>/3SQ2/</t>
  </si>
  <si>
    <t>3'MGB</t>
  </si>
  <si>
    <t>/3MGB/</t>
  </si>
  <si>
    <t>/5BF650/</t>
  </si>
  <si>
    <t>/3BHQ0/</t>
  </si>
  <si>
    <t>5'ROX</t>
  </si>
  <si>
    <t>3'BHQ1</t>
  </si>
  <si>
    <t>5'CY5</t>
  </si>
  <si>
    <t>/5CY5/</t>
  </si>
  <si>
    <t>3'BHQ2</t>
  </si>
  <si>
    <t>/3BHQ2/</t>
  </si>
  <si>
    <t>5'CY3</t>
  </si>
  <si>
    <t>/5CY3/</t>
  </si>
  <si>
    <t>3'BHQ3</t>
  </si>
  <si>
    <t>/3BHQ3/</t>
  </si>
  <si>
    <t>5'Biotin</t>
  </si>
  <si>
    <t>/5BIO/</t>
  </si>
  <si>
    <t>3'6-FAM</t>
  </si>
  <si>
    <t>/36-FAM/</t>
  </si>
  <si>
    <t>/5ATTO425/</t>
  </si>
  <si>
    <t>5'AF488</t>
  </si>
  <si>
    <t>/5AF488/</t>
  </si>
  <si>
    <t>3'AMCA</t>
  </si>
  <si>
    <t>/3AMCA/</t>
  </si>
  <si>
    <t>5'AMCA</t>
  </si>
  <si>
    <t>/5AMCA/</t>
  </si>
  <si>
    <t>/3AmMC6/</t>
  </si>
  <si>
    <t>DNA-A</t>
  </si>
  <si>
    <t>/5AmMC12/</t>
  </si>
  <si>
    <t>/3AmMC7/</t>
  </si>
  <si>
    <t>DNA-G</t>
  </si>
  <si>
    <t>/5AmMC6/</t>
  </si>
  <si>
    <t>/3ATTO425/</t>
  </si>
  <si>
    <t>DNA-T</t>
  </si>
  <si>
    <t>5'BHQ1</t>
  </si>
  <si>
    <t>/5BHQ1/</t>
  </si>
  <si>
    <t>3'Biotin</t>
  </si>
  <si>
    <t>/3BIO/</t>
  </si>
  <si>
    <t>DNA-C</t>
  </si>
  <si>
    <t>5'BHQ2</t>
  </si>
  <si>
    <t>/5BHQ2/</t>
  </si>
  <si>
    <t>3'Cholesteryl</t>
  </si>
  <si>
    <t>/3Chol/</t>
  </si>
  <si>
    <t>/5Chol/</t>
  </si>
  <si>
    <t>3'CY3</t>
  </si>
  <si>
    <t>/3CY3/</t>
  </si>
  <si>
    <t>5'CY5.5</t>
  </si>
  <si>
    <t>3'CY5</t>
  </si>
  <si>
    <t>/3CY5/</t>
  </si>
  <si>
    <t>5'CY7</t>
  </si>
  <si>
    <t>/5CY7/</t>
  </si>
  <si>
    <t>3'CY5.5</t>
  </si>
  <si>
    <t>/3CY5.5/</t>
  </si>
  <si>
    <t>/5DAB/</t>
  </si>
  <si>
    <t>3'CY7</t>
  </si>
  <si>
    <t>/3CY7/</t>
  </si>
  <si>
    <t>5'DIG</t>
  </si>
  <si>
    <t>/5DIG/</t>
  </si>
  <si>
    <t>/3DAB/</t>
  </si>
  <si>
    <t>5'Ferrocene</t>
  </si>
  <si>
    <t>3'ddC</t>
  </si>
  <si>
    <t>/3ddC/</t>
  </si>
  <si>
    <t>5'FITC</t>
  </si>
  <si>
    <t>/5FITC/</t>
  </si>
  <si>
    <t>5'JOE</t>
  </si>
  <si>
    <t>/5JOE/</t>
  </si>
  <si>
    <t>3'Eclipse</t>
  </si>
  <si>
    <t>/3ECL/</t>
  </si>
  <si>
    <t>5'Phosphate</t>
  </si>
  <si>
    <t>/5PHO/</t>
  </si>
  <si>
    <t>3'FITC</t>
  </si>
  <si>
    <t>/3FITC/</t>
  </si>
  <si>
    <t>5'Quasar 670</t>
  </si>
  <si>
    <t>/5Q670/</t>
  </si>
  <si>
    <t>3'HEX</t>
  </si>
  <si>
    <t>/3HEX/</t>
  </si>
  <si>
    <t>/5THL/</t>
  </si>
  <si>
    <t>3'Inverted dT</t>
  </si>
  <si>
    <t>/3InvdT/</t>
  </si>
  <si>
    <t>/5SP18/</t>
  </si>
  <si>
    <t>/5SC3/</t>
  </si>
  <si>
    <t>5'TAMRA</t>
  </si>
  <si>
    <t>/5TAM/</t>
  </si>
  <si>
    <t>3'Phosphate</t>
  </si>
  <si>
    <t>/3PHO/</t>
  </si>
  <si>
    <t>5'TET</t>
  </si>
  <si>
    <t>/5TET/</t>
  </si>
  <si>
    <t>3'Quasar 670</t>
  </si>
  <si>
    <t>/3Q670/</t>
  </si>
  <si>
    <t>/5TexRd-X/</t>
  </si>
  <si>
    <t>3'ROX</t>
  </si>
  <si>
    <t>/3ROX/</t>
  </si>
  <si>
    <t>5'Thiol Modifier C6-S-S</t>
  </si>
  <si>
    <t>/5THS/</t>
  </si>
  <si>
    <t>/3THL/</t>
  </si>
  <si>
    <t>3'Spacer 18</t>
  </si>
  <si>
    <t>/3SP18/</t>
  </si>
  <si>
    <t>/3SC3/</t>
  </si>
  <si>
    <t>3'TAMRA</t>
  </si>
  <si>
    <t>/3TexRd-X/</t>
  </si>
  <si>
    <t>3'Thiol Modifier C6-S-S</t>
  </si>
  <si>
    <t>/3THS/</t>
  </si>
  <si>
    <t>HPTP</t>
  </si>
  <si>
    <t>MSTP</t>
  </si>
  <si>
    <t>H+M</t>
  </si>
  <si>
    <t>H+F</t>
  </si>
  <si>
    <t>M+F</t>
  </si>
  <si>
    <t>H+M+F</t>
  </si>
  <si>
    <t>H+M+C</t>
  </si>
  <si>
    <t>H+M+F+C</t>
  </si>
  <si>
    <t>DSL</t>
  </si>
  <si>
    <t>UPAGE</t>
  </si>
  <si>
    <t>PAGE</t>
  </si>
  <si>
    <t>HPLC</t>
  </si>
  <si>
    <t>F1</t>
  </si>
  <si>
    <t>ATGCATGCATGCATGCATGCATGC</t>
  </si>
  <si>
    <t>F2</t>
  </si>
  <si>
    <t>F3</t>
  </si>
  <si>
    <t>F4</t>
  </si>
  <si>
    <t>P1</t>
  </si>
  <si>
    <t>P2</t>
  </si>
  <si>
    <t>P3</t>
  </si>
  <si>
    <t>P4</t>
  </si>
  <si>
    <t>两端修饰</t>
    <phoneticPr fontId="31" type="noConversion"/>
  </si>
  <si>
    <t>中间修饰</t>
    <phoneticPr fontId="31" type="noConversion"/>
  </si>
  <si>
    <t>代码</t>
    <phoneticPr fontId="31" type="noConversion"/>
  </si>
  <si>
    <t>修饰碱基</t>
    <phoneticPr fontId="31" type="noConversion"/>
  </si>
  <si>
    <t>特殊碱基</t>
    <phoneticPr fontId="31" type="noConversion"/>
  </si>
  <si>
    <t>5'ATTO425</t>
  </si>
  <si>
    <t>/5Ferrocene/</t>
  </si>
  <si>
    <t>5'Thiol C6</t>
  </si>
  <si>
    <t>5'Texas Red-X</t>
  </si>
  <si>
    <t>3'Thiol C6</t>
  </si>
  <si>
    <t>5' Methylene Blue</t>
  </si>
  <si>
    <t>/5MBlue/</t>
  </si>
  <si>
    <t>/5AF405/</t>
  </si>
  <si>
    <t>5'Alkyne</t>
  </si>
  <si>
    <t>/5Alkyne/</t>
  </si>
  <si>
    <t>5'ATTO 647N</t>
  </si>
  <si>
    <t>/5ATTO647N/</t>
  </si>
  <si>
    <t>5'ATTO390</t>
  </si>
  <si>
    <t>/5ATTO390/</t>
  </si>
  <si>
    <t>5'ATTO594</t>
  </si>
  <si>
    <t>/5ATTO594/</t>
  </si>
  <si>
    <t>3'Quasar 705</t>
  </si>
  <si>
    <t>/3Q705/</t>
  </si>
  <si>
    <t>5'ATTO633</t>
  </si>
  <si>
    <t>/5ATTO633/</t>
  </si>
  <si>
    <t>5'ATTO680</t>
  </si>
  <si>
    <t>/5ATTO680/</t>
  </si>
  <si>
    <t>5'BIO-TEG</t>
  </si>
  <si>
    <t>/5BIO-TEG/</t>
  </si>
  <si>
    <t>3' Methylene Blue</t>
  </si>
  <si>
    <t>/3MBlue/</t>
  </si>
  <si>
    <t>3'Alkyne</t>
  </si>
  <si>
    <t>/3Alkyne/</t>
  </si>
  <si>
    <t>5'DBCO</t>
  </si>
  <si>
    <t>/5DBCO/</t>
  </si>
  <si>
    <t>5'Dual Biotin</t>
  </si>
  <si>
    <t>/5dBIO/</t>
  </si>
  <si>
    <t>5'dual FAM</t>
  </si>
  <si>
    <t>/5dFAM/</t>
  </si>
  <si>
    <t>5'Quasar 705</t>
  </si>
  <si>
    <t>/5Q705/</t>
  </si>
  <si>
    <t>5'rApp</t>
  </si>
  <si>
    <t>/5rApp/</t>
  </si>
  <si>
    <t>5'TMT</t>
  </si>
  <si>
    <t>/5TMT/</t>
  </si>
  <si>
    <t>/i8OXOdG/</t>
  </si>
  <si>
    <t>/iAmMC6dT/</t>
  </si>
  <si>
    <t>int-DMT-BHQ1</t>
  </si>
  <si>
    <t>/iBHQ1/</t>
  </si>
  <si>
    <t>int-DMT-BHQ2</t>
  </si>
  <si>
    <t>/iBHQ2/</t>
  </si>
  <si>
    <t>int-Alkyne</t>
  </si>
  <si>
    <t>/iAlkyne/</t>
  </si>
  <si>
    <t>int-CY5.5 dT</t>
  </si>
  <si>
    <t>/iCY5.5dT/</t>
  </si>
  <si>
    <t>/i425dT/</t>
  </si>
  <si>
    <t>R1</t>
    <phoneticPr fontId="31" type="noConversion"/>
  </si>
  <si>
    <t>5'6-FAM</t>
    <phoneticPr fontId="31" type="noConversion"/>
  </si>
  <si>
    <t>3'Super Quencher 1</t>
  </si>
  <si>
    <t>5'BECU_BF650</t>
    <phoneticPr fontId="31" type="noConversion"/>
  </si>
  <si>
    <t>3'Super Quencher 2</t>
    <phoneticPr fontId="31" type="noConversion"/>
  </si>
  <si>
    <t>订购日期：</t>
  </si>
  <si>
    <t>地址：上海市松江区书海路99号23幢</t>
    <phoneticPr fontId="1" type="noConversion"/>
  </si>
  <si>
    <t>联系电话：021-67616018, 400-168-8906</t>
    <phoneticPr fontId="1" type="noConversion"/>
  </si>
  <si>
    <t>订单要求：</t>
  </si>
  <si>
    <t>客户Email：</t>
  </si>
  <si>
    <t>交付形式：</t>
  </si>
  <si>
    <t>客户ID:</t>
  </si>
  <si>
    <t>客户订单号：</t>
  </si>
  <si>
    <t>每管OD值</t>
    <phoneticPr fontId="1" type="noConversion"/>
  </si>
  <si>
    <t>5'修饰</t>
    <phoneticPr fontId="31" type="noConversion"/>
  </si>
  <si>
    <t>3'修饰</t>
    <phoneticPr fontId="31" type="noConversion"/>
  </si>
  <si>
    <t>5'Amino Modifier C6</t>
  </si>
  <si>
    <t>5'Amino Modifier C12</t>
  </si>
  <si>
    <t>5'DABCYL</t>
  </si>
  <si>
    <t>/5ROX/</t>
  </si>
  <si>
    <t>5'spacer C3</t>
  </si>
  <si>
    <t>5'Cholesteryl</t>
  </si>
  <si>
    <t>5'BECU_BF650</t>
  </si>
  <si>
    <t>5'CHCH</t>
  </si>
  <si>
    <t>/5CHCH/</t>
  </si>
  <si>
    <t>5'SPacer 18</t>
  </si>
  <si>
    <t>5'Alexa Fluor 405</t>
  </si>
  <si>
    <t>5'ATTO488</t>
  </si>
  <si>
    <t>/5ATTO488/</t>
  </si>
  <si>
    <t>5'Acrydite</t>
  </si>
  <si>
    <t>/5Acrydite/</t>
  </si>
  <si>
    <t>5'BF500</t>
  </si>
  <si>
    <t>/5BF500/</t>
  </si>
  <si>
    <t>5'BF535</t>
  </si>
  <si>
    <t>/5BF535/</t>
  </si>
  <si>
    <t>5'COOH</t>
  </si>
  <si>
    <t>/5COOH/</t>
  </si>
  <si>
    <t>5'Acridinium</t>
  </si>
  <si>
    <t>/5Acridinium/</t>
  </si>
  <si>
    <t>5'Triple SH</t>
  </si>
  <si>
    <t>/5Triple SH/</t>
  </si>
  <si>
    <t>5'AF532</t>
  </si>
  <si>
    <t>/5AF532/</t>
  </si>
  <si>
    <t>5'ATTO532</t>
  </si>
  <si>
    <t>/5ATTO532/</t>
  </si>
  <si>
    <t>5'Sulfo-CY3</t>
  </si>
  <si>
    <t>/5Sulfo-CY3/</t>
  </si>
  <si>
    <t>5'ATTO495</t>
  </si>
  <si>
    <t>/5ATTO495/</t>
  </si>
  <si>
    <t>5'ATTO550</t>
  </si>
  <si>
    <t>/5ATTO550/</t>
  </si>
  <si>
    <t>5'ATTO565</t>
  </si>
  <si>
    <t>/5ATTO565/</t>
  </si>
  <si>
    <t>5'AF350</t>
  </si>
  <si>
    <t>/5AF350/</t>
  </si>
  <si>
    <t>5'AF555</t>
  </si>
  <si>
    <t>/5AF555/</t>
  </si>
  <si>
    <t>5'AF568</t>
  </si>
  <si>
    <t>/5AF568/</t>
  </si>
  <si>
    <t>5'AF594</t>
  </si>
  <si>
    <t>/5AF594/</t>
  </si>
  <si>
    <t>5'AF750</t>
  </si>
  <si>
    <t>/5AF750/</t>
  </si>
  <si>
    <t>5'BF495</t>
  </si>
  <si>
    <t>/5BF495/</t>
  </si>
  <si>
    <t>/5Triple BIO/</t>
  </si>
  <si>
    <t>5'AF647</t>
  </si>
  <si>
    <t>/5AF647/</t>
  </si>
  <si>
    <t>5'HEX-FAM</t>
  </si>
  <si>
    <t>/5HEXFAM/</t>
  </si>
  <si>
    <t>5'AF430</t>
  </si>
  <si>
    <t>/5AF430/</t>
  </si>
  <si>
    <t>5'CF405L</t>
  </si>
  <si>
    <t>/5CF405L/</t>
  </si>
  <si>
    <t>5'CFO</t>
  </si>
  <si>
    <t>/5CFO/</t>
  </si>
  <si>
    <t>5'CFR</t>
  </si>
  <si>
    <t>/5CFR/</t>
  </si>
  <si>
    <t>5'AF546</t>
  </si>
  <si>
    <t>/5AF546/</t>
  </si>
  <si>
    <t>5'Inverted dT</t>
  </si>
  <si>
    <t>/5InvdT/</t>
  </si>
  <si>
    <t>5'ddC</t>
  </si>
  <si>
    <t>/5ddC/</t>
  </si>
  <si>
    <t>5'Azide</t>
  </si>
  <si>
    <t>/5Azide/</t>
  </si>
  <si>
    <t>3'BHQ0</t>
  </si>
  <si>
    <t>3'Super Quencher 2</t>
  </si>
  <si>
    <t>3'Super Quencher-X</t>
  </si>
  <si>
    <t>/3SQ-X/</t>
  </si>
  <si>
    <t>3'Amino Modifier C6</t>
  </si>
  <si>
    <t>3'Amino Modifier C7</t>
  </si>
  <si>
    <t>3'spacer C3</t>
  </si>
  <si>
    <t>3'Spacer C6</t>
  </si>
  <si>
    <t>/3SC6/</t>
  </si>
  <si>
    <t>/3TAM/</t>
  </si>
  <si>
    <t>3'DABCYL</t>
  </si>
  <si>
    <t>/3MFE/</t>
  </si>
  <si>
    <t>3'Texas Red-X</t>
  </si>
  <si>
    <t>3'Digoxigenin</t>
  </si>
  <si>
    <t>/3DIG/</t>
  </si>
  <si>
    <t>3'ATTO425</t>
  </si>
  <si>
    <t>3'Cholesteryl-TEG</t>
  </si>
  <si>
    <t>/3Chol-TEG/</t>
  </si>
  <si>
    <t>3'TET</t>
  </si>
  <si>
    <t>/3TET/</t>
  </si>
  <si>
    <t>3'ATTO488</t>
  </si>
  <si>
    <t>/3ATTO488/</t>
  </si>
  <si>
    <t>3'ddA</t>
  </si>
  <si>
    <t>/3ddA/</t>
  </si>
  <si>
    <t>3'C6-DBCO</t>
  </si>
  <si>
    <t>/3C6-DBCO/</t>
  </si>
  <si>
    <t>3'GalNAc</t>
  </si>
  <si>
    <t>/3GalNAc/</t>
  </si>
  <si>
    <t>3'Super Quencher 3</t>
  </si>
  <si>
    <t>/3SQ3/</t>
  </si>
  <si>
    <t>3'AF546</t>
  </si>
  <si>
    <t>/3AF546/</t>
  </si>
  <si>
    <t>3'AF594</t>
  </si>
  <si>
    <t>/3AF594/</t>
  </si>
  <si>
    <t>int-2F RNA-A</t>
  </si>
  <si>
    <t>/i2FrA/</t>
  </si>
  <si>
    <t>int-2F-RNA-G</t>
  </si>
  <si>
    <t>/i2FrG/</t>
  </si>
  <si>
    <t>int-2F RNA-C</t>
  </si>
  <si>
    <t>/i2FrC/</t>
  </si>
  <si>
    <t>int-2F RNA-U</t>
  </si>
  <si>
    <t>/i2FrU/</t>
  </si>
  <si>
    <t>int-MOE-A</t>
  </si>
  <si>
    <t>/i2OMOEA/</t>
  </si>
  <si>
    <t>int-MOE-G</t>
  </si>
  <si>
    <t>/i2OMOEG/</t>
  </si>
  <si>
    <t>int-MOE-C</t>
  </si>
  <si>
    <t>/i2OMOEC/</t>
  </si>
  <si>
    <t>int-MOE-U</t>
  </si>
  <si>
    <t>/i2OMOEU/</t>
  </si>
  <si>
    <t>int-8-OXO-dG</t>
  </si>
  <si>
    <t>int-N6-Me-dA</t>
  </si>
  <si>
    <t>/iN6MedA/</t>
  </si>
  <si>
    <t>/i5MeidC/</t>
  </si>
  <si>
    <t>int-iso-dG</t>
  </si>
  <si>
    <t>/iisodG/</t>
  </si>
  <si>
    <t>int-inverted-dT</t>
  </si>
  <si>
    <t>/iinvdT/</t>
  </si>
  <si>
    <t>int-BHQ1 dT</t>
  </si>
  <si>
    <t>int-BHQ2 dT</t>
  </si>
  <si>
    <t>int-dSpacer</t>
  </si>
  <si>
    <t>/idsp/</t>
  </si>
  <si>
    <t>int-spacer C3</t>
  </si>
  <si>
    <t>/iSC3/</t>
  </si>
  <si>
    <t>int-Spacer C6</t>
  </si>
  <si>
    <t>/iSC6/</t>
  </si>
  <si>
    <t>int-Spacer 9</t>
  </si>
  <si>
    <t>int-Spacer C12</t>
  </si>
  <si>
    <t>/iSC12/</t>
  </si>
  <si>
    <t>int-Spacer 18</t>
  </si>
  <si>
    <t>int-6-FAM dT</t>
  </si>
  <si>
    <t>int-Amino Modifier C6 dT</t>
  </si>
  <si>
    <t>int-HEX dT</t>
  </si>
  <si>
    <t>int-ROX dT</t>
  </si>
  <si>
    <t>int-CY5 dT</t>
  </si>
  <si>
    <t>/iCY5dT/</t>
  </si>
  <si>
    <t>int-TAMRA dT</t>
  </si>
  <si>
    <t>int-Dabcyl dT</t>
  </si>
  <si>
    <t>int-VIC dT</t>
  </si>
  <si>
    <t>int-ATTO425 dT</t>
  </si>
  <si>
    <t>int-FITC dT</t>
  </si>
  <si>
    <t>/iFITCdT/</t>
  </si>
  <si>
    <t>int-CY3 dT</t>
  </si>
  <si>
    <t>/iCY3dT/</t>
  </si>
  <si>
    <t>int-DIG dT</t>
  </si>
  <si>
    <t>/iDIGdT/</t>
  </si>
  <si>
    <t>int-Thiol Modifier C6-S-S</t>
  </si>
  <si>
    <t>/iTHS/</t>
  </si>
  <si>
    <t>int-Amino Modifier C6 dA</t>
  </si>
  <si>
    <t>/iAmMC6dA/</t>
  </si>
  <si>
    <t>int-Amino Modifier C6 dC</t>
  </si>
  <si>
    <t>/iAmMC6dC/</t>
  </si>
  <si>
    <t>int-6-FAM dC</t>
  </si>
  <si>
    <t>/i6FAMdC/</t>
  </si>
  <si>
    <t>int-UNA-A</t>
  </si>
  <si>
    <t>/iUNAA/</t>
  </si>
  <si>
    <t>int-UNA-G</t>
  </si>
  <si>
    <t>/iUNAG/</t>
  </si>
  <si>
    <t>int-UNA-C</t>
  </si>
  <si>
    <t>/iUNAC/</t>
  </si>
  <si>
    <t>/iUNAU/</t>
  </si>
  <si>
    <t>int-NPOM dT</t>
  </si>
  <si>
    <t>/iNPOMdT/</t>
  </si>
  <si>
    <t>int-BIO dT</t>
  </si>
  <si>
    <t>/iBIOdT/</t>
  </si>
  <si>
    <t>/iAF546dT/</t>
  </si>
  <si>
    <t>int-HMC</t>
  </si>
  <si>
    <t>/iHMC/</t>
  </si>
  <si>
    <t>int-HEX dC</t>
  </si>
  <si>
    <t>/iHEXdC/</t>
  </si>
  <si>
    <t>int-MIA2</t>
  </si>
  <si>
    <t>/iMIA2/</t>
  </si>
  <si>
    <t>int-JOE dT</t>
  </si>
  <si>
    <t>int-PGO</t>
  </si>
  <si>
    <t>/iPGO/</t>
  </si>
  <si>
    <t>int-O-C6-NHTFA</t>
  </si>
  <si>
    <t>/iOC6/</t>
  </si>
  <si>
    <t>/iATTO488dT/</t>
  </si>
  <si>
    <t>int-Amino Modifier C12</t>
  </si>
  <si>
    <t>/iAmMC12/</t>
  </si>
  <si>
    <t>int-2'methoxy A</t>
  </si>
  <si>
    <t>int-2'methoxy G</t>
  </si>
  <si>
    <t>int-2'methoxy C</t>
  </si>
  <si>
    <t>int-2'methoxy U</t>
  </si>
  <si>
    <t>int-5-Methyl dC</t>
  </si>
  <si>
    <t>int-5-Me-iso-dC</t>
  </si>
  <si>
    <t>int-Texas Red-X dT</t>
  </si>
  <si>
    <t>int-AF546 dT</t>
  </si>
  <si>
    <t>int-UNA-U</t>
  </si>
  <si>
    <t>/3BHQ1/</t>
    <phoneticPr fontId="1" type="noConversion"/>
  </si>
  <si>
    <t>dC</t>
    <phoneticPr fontId="1" type="noConversion"/>
  </si>
  <si>
    <t>A</t>
    <phoneticPr fontId="1" type="noConversion"/>
  </si>
  <si>
    <t>G</t>
    <phoneticPr fontId="1" type="noConversion"/>
  </si>
  <si>
    <t>C</t>
    <phoneticPr fontId="1" type="noConversion"/>
  </si>
  <si>
    <t>U</t>
    <phoneticPr fontId="1" type="noConversion"/>
  </si>
  <si>
    <t>T</t>
    <phoneticPr fontId="1" type="noConversion"/>
  </si>
  <si>
    <t>3'VIC</t>
    <phoneticPr fontId="1" type="noConversion"/>
  </si>
  <si>
    <t>/3VIC/</t>
    <phoneticPr fontId="1" type="noConversion"/>
  </si>
  <si>
    <t>int-FAM</t>
  </si>
  <si>
    <t>/i6FAM/</t>
  </si>
  <si>
    <t>int-ATTO647 dT</t>
  </si>
  <si>
    <t>/iATTO647dT/</t>
  </si>
  <si>
    <t>int-Quasar670 dT</t>
  </si>
  <si>
    <t>/iQuasar670dT/</t>
  </si>
  <si>
    <t>int-BF650 dT</t>
  </si>
  <si>
    <t>/iBF650dT/</t>
  </si>
  <si>
    <t>int-2'methoxy R</t>
  </si>
  <si>
    <t>3'BBQ650</t>
  </si>
  <si>
    <t>/3BBQ650/</t>
  </si>
  <si>
    <t>3'dT</t>
  </si>
  <si>
    <t>/3dT/</t>
  </si>
  <si>
    <t>3'IQ4</t>
  </si>
  <si>
    <t>/3IQ4/</t>
  </si>
  <si>
    <t>5'CAL Fluor Red 635</t>
  </si>
  <si>
    <t>/5CAL Fluor Red 635/</t>
  </si>
  <si>
    <t>5'NED</t>
  </si>
  <si>
    <t>/5NED/</t>
  </si>
  <si>
    <t>5'VIC</t>
  </si>
  <si>
    <t>/5VIC/</t>
  </si>
  <si>
    <t>5'Triple BIO</t>
  </si>
  <si>
    <t>int-ATTO488 dT</t>
    <phoneticPr fontId="1" type="noConversion"/>
  </si>
  <si>
    <t>3'Ferrocene</t>
    <phoneticPr fontId="1" type="noConversion"/>
  </si>
  <si>
    <t>int-AF488 dT</t>
    <phoneticPr fontId="1" type="noConversion"/>
  </si>
  <si>
    <t>R</t>
    <phoneticPr fontId="1" type="noConversion"/>
  </si>
  <si>
    <t>/3AF488/</t>
  </si>
  <si>
    <t>3'CHCH</t>
  </si>
  <si>
    <t>/3CHCH/</t>
  </si>
  <si>
    <t>3'JOE</t>
  </si>
  <si>
    <t>/3JOE/</t>
  </si>
  <si>
    <t>3'AF488</t>
  </si>
  <si>
    <t>3'ATTO550</t>
  </si>
  <si>
    <t>3'iso-dG</t>
  </si>
  <si>
    <t>/3ATTO550/</t>
  </si>
  <si>
    <t>3'DBCO</t>
  </si>
  <si>
    <t>/3DBCO/</t>
  </si>
  <si>
    <t>/3isodG/</t>
  </si>
  <si>
    <t>3'rApp</t>
  </si>
  <si>
    <t>/3rApp/</t>
  </si>
  <si>
    <t>干粉</t>
    <phoneticPr fontId="1" type="noConversion"/>
  </si>
  <si>
    <t>液体交付</t>
    <phoneticPr fontId="1" type="noConversion"/>
  </si>
  <si>
    <t>10uM</t>
    <phoneticPr fontId="1" type="noConversion"/>
  </si>
  <si>
    <t>20uM</t>
    <phoneticPr fontId="1" type="noConversion"/>
  </si>
  <si>
    <t>50uM</t>
    <phoneticPr fontId="1" type="noConversion"/>
  </si>
  <si>
    <t>100uM</t>
    <phoneticPr fontId="1" type="noConversion"/>
  </si>
  <si>
    <t>200uM</t>
    <phoneticPr fontId="1" type="noConversion"/>
  </si>
  <si>
    <t>500uM</t>
    <phoneticPr fontId="1" type="noConversion"/>
  </si>
  <si>
    <t>溶剂</t>
    <phoneticPr fontId="1" type="noConversion"/>
  </si>
  <si>
    <t>浓度</t>
    <phoneticPr fontId="1" type="noConversion"/>
  </si>
  <si>
    <t>质检代码说明</t>
  </si>
  <si>
    <t>检测报告类型</t>
  </si>
  <si>
    <t>代码说明</t>
  </si>
  <si>
    <t>不提供质检报告</t>
  </si>
  <si>
    <t>HPLC报告</t>
  </si>
  <si>
    <r>
      <t>dd H</t>
    </r>
    <r>
      <rPr>
        <sz val="8"/>
        <color theme="1"/>
        <rFont val="思源黑体"/>
        <family val="2"/>
        <charset val="134"/>
      </rPr>
      <t>2</t>
    </r>
    <r>
      <rPr>
        <sz val="10"/>
        <color theme="1"/>
        <rFont val="思源黑体"/>
        <family val="2"/>
        <charset val="134"/>
      </rPr>
      <t xml:space="preserve">0  </t>
    </r>
    <phoneticPr fontId="1" type="noConversion"/>
  </si>
  <si>
    <t>MS报告</t>
  </si>
  <si>
    <t xml:space="preserve">DEPC水  </t>
    <phoneticPr fontId="1" type="noConversion"/>
  </si>
  <si>
    <t>HPLC报告+MS报告</t>
  </si>
  <si>
    <t>HPLC报告+全波长扫描报告</t>
  </si>
  <si>
    <t>MS报告+全波长扫描报告</t>
  </si>
  <si>
    <t>HPLC报告+MS报告+全波长扫描报告</t>
    <phoneticPr fontId="31" type="noConversion"/>
  </si>
  <si>
    <t>HPLC报告+MS报告+溶液交付浓度报告</t>
  </si>
  <si>
    <t>HPLC报告+MS报告+全波长扫描报告+溶液交付浓度报告</t>
  </si>
  <si>
    <t>默认参数</t>
  </si>
  <si>
    <r>
      <t>订单类别：</t>
    </r>
    <r>
      <rPr>
        <b/>
        <sz val="10"/>
        <color rgb="FFFF0000"/>
        <rFont val="思源黑体"/>
        <family val="2"/>
        <charset val="134"/>
      </rPr>
      <t>*</t>
    </r>
  </si>
  <si>
    <t>交付格式</t>
  </si>
  <si>
    <t>每管的OD值</t>
    <phoneticPr fontId="31" type="noConversion"/>
  </si>
  <si>
    <t>BLG白色标签</t>
  </si>
  <si>
    <t>1.5ml离心管</t>
  </si>
  <si>
    <t>常规引物 OD下单填写说明</t>
  </si>
  <si>
    <t>交付形式</t>
  </si>
  <si>
    <t>每管的OD值</t>
  </si>
  <si>
    <t>常规引物 nmol下单填写说明</t>
  </si>
  <si>
    <t>修饰填写说明</t>
  </si>
  <si>
    <r>
      <t>ATGCATGCATGC</t>
    </r>
    <r>
      <rPr>
        <sz val="10"/>
        <color rgb="FFFF0000"/>
        <rFont val="思源黑体"/>
        <family val="2"/>
        <charset val="134"/>
      </rPr>
      <t>Y</t>
    </r>
    <r>
      <rPr>
        <sz val="10"/>
        <color rgb="FF000000"/>
        <rFont val="思源黑体"/>
        <family val="2"/>
        <charset val="134"/>
      </rPr>
      <t>TGCATGCATGC</t>
    </r>
    <phoneticPr fontId="31" type="noConversion"/>
  </si>
  <si>
    <t>50ml离心管</t>
  </si>
  <si>
    <r>
      <t>ATGCATGC</t>
    </r>
    <r>
      <rPr>
        <sz val="10"/>
        <color rgb="FFFF0000"/>
        <rFont val="思源黑体"/>
        <family val="2"/>
        <charset val="134"/>
      </rPr>
      <t>Y</t>
    </r>
    <r>
      <rPr>
        <sz val="10"/>
        <color rgb="FF000000"/>
        <rFont val="思源黑体"/>
        <family val="2"/>
        <charset val="134"/>
      </rPr>
      <t>TGCATGC</t>
    </r>
    <r>
      <rPr>
        <sz val="10"/>
        <color rgb="FFFF0000"/>
        <rFont val="思源黑体"/>
        <family val="2"/>
        <charset val="134"/>
      </rPr>
      <t>K</t>
    </r>
    <r>
      <rPr>
        <sz val="10"/>
        <color rgb="FF000000"/>
        <rFont val="思源黑体"/>
        <family val="2"/>
        <charset val="134"/>
      </rPr>
      <t>TGCATGC</t>
    </r>
    <phoneticPr fontId="31" type="noConversion"/>
  </si>
  <si>
    <t>特殊碱基和中间修饰填写</t>
    <phoneticPr fontId="31" type="noConversion"/>
  </si>
  <si>
    <t>其他</t>
    <phoneticPr fontId="31" type="noConversion"/>
  </si>
  <si>
    <r>
      <t>ATGCATGCATGCATG</t>
    </r>
    <r>
      <rPr>
        <sz val="10"/>
        <color rgb="FFFF0000"/>
        <rFont val="思源黑体"/>
        <family val="2"/>
        <charset val="134"/>
      </rPr>
      <t>+C</t>
    </r>
    <r>
      <rPr>
        <sz val="10"/>
        <color rgb="FF000000"/>
        <rFont val="思源黑体"/>
        <family val="2"/>
        <charset val="134"/>
      </rPr>
      <t>ATGC</t>
    </r>
    <r>
      <rPr>
        <sz val="10"/>
        <color rgb="FFFF0000"/>
        <rFont val="思源黑体"/>
        <family val="2"/>
        <charset val="134"/>
      </rPr>
      <t>+A</t>
    </r>
    <r>
      <rPr>
        <sz val="10"/>
        <color rgb="FF000000"/>
        <rFont val="思源黑体"/>
        <family val="2"/>
        <charset val="134"/>
      </rPr>
      <t>TGC</t>
    </r>
    <phoneticPr fontId="31" type="noConversion"/>
  </si>
  <si>
    <t>5ml离心管</t>
  </si>
  <si>
    <r>
      <t>ATGCATGC</t>
    </r>
    <r>
      <rPr>
        <sz val="10"/>
        <color rgb="FFFF0000"/>
        <rFont val="思源黑体"/>
        <family val="2"/>
        <charset val="134"/>
      </rPr>
      <t>U</t>
    </r>
    <r>
      <rPr>
        <sz val="10"/>
        <color rgb="FF000000"/>
        <rFont val="思源黑体"/>
        <family val="2"/>
        <charset val="134"/>
      </rPr>
      <t>TGCATICATGC</t>
    </r>
    <r>
      <rPr>
        <sz val="10"/>
        <color rgb="FFFF0000"/>
        <rFont val="思源黑体"/>
        <family val="2"/>
        <charset val="134"/>
      </rPr>
      <t>rA</t>
    </r>
    <r>
      <rPr>
        <sz val="10"/>
        <color rgb="FF000000"/>
        <rFont val="思源黑体"/>
        <family val="2"/>
        <charset val="134"/>
      </rPr>
      <t>T</t>
    </r>
    <r>
      <rPr>
        <sz val="10"/>
        <color rgb="FFFF0000"/>
        <rFont val="思源黑体"/>
        <family val="2"/>
        <charset val="134"/>
      </rPr>
      <t>rG</t>
    </r>
    <r>
      <rPr>
        <sz val="10"/>
        <color rgb="FF000000"/>
        <rFont val="思源黑体"/>
        <family val="2"/>
        <charset val="134"/>
      </rPr>
      <t>C</t>
    </r>
    <phoneticPr fontId="31" type="noConversion"/>
  </si>
  <si>
    <r>
      <t>ATGCA</t>
    </r>
    <r>
      <rPr>
        <sz val="10"/>
        <color rgb="FFFF0000"/>
        <rFont val="思源黑体"/>
        <family val="2"/>
        <charset val="134"/>
      </rPr>
      <t>/iROXdT/</t>
    </r>
    <r>
      <rPr>
        <sz val="10"/>
        <color theme="1"/>
        <rFont val="思源黑体"/>
        <family val="2"/>
        <charset val="134"/>
      </rPr>
      <t>GCAT</t>
    </r>
    <r>
      <rPr>
        <sz val="10"/>
        <color rgb="FFFF0000"/>
        <rFont val="思源黑体"/>
        <family val="2"/>
        <charset val="134"/>
      </rPr>
      <t>/idSp/</t>
    </r>
    <r>
      <rPr>
        <sz val="10"/>
        <color theme="1"/>
        <rFont val="思源黑体"/>
        <family val="2"/>
        <charset val="134"/>
      </rPr>
      <t>GCATGCAT</t>
    </r>
    <r>
      <rPr>
        <sz val="10"/>
        <color rgb="FFFF0000"/>
        <rFont val="思源黑体"/>
        <family val="2"/>
        <charset val="134"/>
      </rPr>
      <t>/iBHQ1dT/</t>
    </r>
    <r>
      <rPr>
        <sz val="10"/>
        <color theme="1"/>
        <rFont val="思源黑体"/>
        <family val="2"/>
        <charset val="134"/>
      </rPr>
      <t>GCATGC</t>
    </r>
    <phoneticPr fontId="31" type="noConversion"/>
  </si>
  <si>
    <r>
      <t>ATGCATGCATGCATGCATGCAT</t>
    </r>
    <r>
      <rPr>
        <sz val="10"/>
        <color rgb="FFFF0000"/>
        <rFont val="思源黑体"/>
        <family val="2"/>
        <charset val="134"/>
      </rPr>
      <t>*</t>
    </r>
    <r>
      <rPr>
        <sz val="10"/>
        <color rgb="FF000000"/>
        <rFont val="思源黑体"/>
        <family val="2"/>
        <charset val="134"/>
      </rPr>
      <t>G</t>
    </r>
    <r>
      <rPr>
        <sz val="10"/>
        <color rgb="FFFF0000"/>
        <rFont val="思源黑体"/>
        <family val="2"/>
        <charset val="134"/>
      </rPr>
      <t>*</t>
    </r>
    <r>
      <rPr>
        <sz val="10"/>
        <color rgb="FF000000"/>
        <rFont val="思源黑体"/>
        <family val="2"/>
        <charset val="134"/>
      </rPr>
      <t>C</t>
    </r>
    <phoneticPr fontId="31" type="noConversion"/>
  </si>
  <si>
    <r>
      <t>客户姓名：</t>
    </r>
    <r>
      <rPr>
        <sz val="10"/>
        <color indexed="10"/>
        <rFont val="思源黑体"/>
        <family val="2"/>
        <charset val="134"/>
      </rPr>
      <t>*</t>
    </r>
  </si>
  <si>
    <r>
      <t>客户单位：</t>
    </r>
    <r>
      <rPr>
        <sz val="10"/>
        <color indexed="10"/>
        <rFont val="思源黑体"/>
        <family val="2"/>
        <charset val="134"/>
      </rPr>
      <t>*</t>
    </r>
  </si>
  <si>
    <r>
      <t>课题组：</t>
    </r>
    <r>
      <rPr>
        <sz val="10"/>
        <color indexed="10"/>
        <rFont val="思源黑体"/>
        <family val="2"/>
        <charset val="134"/>
      </rPr>
      <t>*</t>
    </r>
  </si>
  <si>
    <r>
      <t>订单类别：</t>
    </r>
    <r>
      <rPr>
        <b/>
        <sz val="10"/>
        <color indexed="10"/>
        <rFont val="思源黑体"/>
        <family val="2"/>
        <charset val="134"/>
      </rPr>
      <t>*</t>
    </r>
  </si>
  <si>
    <r>
      <t>客户地址：</t>
    </r>
    <r>
      <rPr>
        <sz val="10"/>
        <color indexed="10"/>
        <rFont val="思源黑体"/>
        <family val="2"/>
        <charset val="134"/>
      </rPr>
      <t>*</t>
    </r>
  </si>
  <si>
    <r>
      <t>客户电话：</t>
    </r>
    <r>
      <rPr>
        <sz val="10"/>
        <color indexed="10"/>
        <rFont val="思源黑体"/>
        <family val="2"/>
        <charset val="134"/>
      </rPr>
      <t>*</t>
    </r>
  </si>
  <si>
    <r>
      <t>收货人：</t>
    </r>
    <r>
      <rPr>
        <sz val="10"/>
        <color indexed="10"/>
        <rFont val="思源黑体"/>
        <family val="2"/>
        <charset val="134"/>
      </rPr>
      <t>*</t>
    </r>
  </si>
  <si>
    <r>
      <t>收货电话：</t>
    </r>
    <r>
      <rPr>
        <sz val="10"/>
        <color indexed="10"/>
        <rFont val="思源黑体"/>
        <family val="2"/>
        <charset val="134"/>
      </rPr>
      <t>*</t>
    </r>
  </si>
  <si>
    <r>
      <t>收货地址：</t>
    </r>
    <r>
      <rPr>
        <sz val="10"/>
        <color indexed="10"/>
        <rFont val="思源黑体"/>
        <family val="2"/>
        <charset val="134"/>
      </rPr>
      <t>*</t>
    </r>
  </si>
  <si>
    <r>
      <t>发票类型：</t>
    </r>
    <r>
      <rPr>
        <sz val="10"/>
        <color indexed="10"/>
        <rFont val="思源黑体"/>
        <family val="2"/>
        <charset val="134"/>
      </rPr>
      <t>*</t>
    </r>
  </si>
  <si>
    <r>
      <t>发票抬头：</t>
    </r>
    <r>
      <rPr>
        <sz val="10"/>
        <color indexed="10"/>
        <rFont val="思源黑体"/>
        <family val="2"/>
        <charset val="134"/>
      </rPr>
      <t>*</t>
    </r>
  </si>
  <si>
    <t xml:space="preserve">1 x TE  </t>
    <phoneticPr fontId="1" type="noConversion"/>
  </si>
  <si>
    <t xml:space="preserve">1 x LOW TE  </t>
    <phoneticPr fontId="1" type="noConversion"/>
  </si>
  <si>
    <t>百力格生物科技（上海）股份有限公司  DNA合成订购表</t>
    <phoneticPr fontId="1" type="noConversion"/>
  </si>
  <si>
    <t>网址：www.bioligo.com</t>
    <phoneticPr fontId="1" type="noConversion"/>
  </si>
  <si>
    <t>邮箱：oligo@bioligo.com</t>
    <phoneticPr fontId="1" type="noConversion"/>
  </si>
  <si>
    <t>int-N1-Me-rA</t>
    <phoneticPr fontId="1" type="noConversion"/>
  </si>
  <si>
    <t>/iN1MerA/</t>
    <phoneticPr fontId="1" type="noConversion"/>
  </si>
  <si>
    <t>int-BF650 dA</t>
    <phoneticPr fontId="1" type="noConversion"/>
  </si>
  <si>
    <t>/iBF650dA/</t>
    <phoneticPr fontId="1" type="noConversion"/>
  </si>
  <si>
    <t>5'AS</t>
  </si>
  <si>
    <t>/5AS/</t>
  </si>
  <si>
    <t>3'TPE</t>
  </si>
  <si>
    <t>/3TPE/</t>
  </si>
  <si>
    <t>5'BF490</t>
  </si>
  <si>
    <t>/5BF490/</t>
  </si>
  <si>
    <t>5'BF533</t>
  </si>
  <si>
    <t>/5BF533/</t>
  </si>
  <si>
    <t>5'BF590</t>
  </si>
  <si>
    <t>/5BF590/</t>
  </si>
  <si>
    <t>5'BF648</t>
  </si>
  <si>
    <t>/5BF648/</t>
  </si>
  <si>
    <t>3'RQ</t>
  </si>
  <si>
    <t>/3RQ/</t>
  </si>
  <si>
    <t>/3RQP/</t>
  </si>
  <si>
    <t>*</t>
    <phoneticPr fontId="1" type="noConversion"/>
  </si>
  <si>
    <t>Phosphorothioate</t>
    <phoneticPr fontId="1" type="noConversion"/>
  </si>
  <si>
    <t>总OD/nmol</t>
    <phoneticPr fontId="1" type="noConversion"/>
  </si>
  <si>
    <t>总OD</t>
    <phoneticPr fontId="1" type="noConversion"/>
  </si>
  <si>
    <t>总nmol</t>
    <phoneticPr fontId="1" type="noConversion"/>
  </si>
  <si>
    <t>兼并碱基代码：A,g＝R；A,C＝M；A,T＝W；C,g=S；C,T＝Y；g,T＝K；A,T,C＝H；g,T,C＝B；g,A,T=D；A,C,g=V；A,C,g,T=N</t>
    <phoneticPr fontId="1" type="noConversion"/>
  </si>
  <si>
    <t>5'CHO</t>
    <phoneticPr fontId="1" type="noConversion"/>
  </si>
  <si>
    <t>/5CHO/</t>
    <phoneticPr fontId="1" type="noConversion"/>
  </si>
  <si>
    <t>3'Super Quencher 0</t>
    <phoneticPr fontId="1" type="noConversion"/>
  </si>
  <si>
    <t>/3SQ0/</t>
    <phoneticPr fontId="1" type="noConversion"/>
  </si>
  <si>
    <t>BLG透明标签</t>
  </si>
  <si>
    <t>1.此表格仅针对E-mail订单使用，如果工作日19点前2小时未收到回复请及时联系。
2.因为订单是系统自动处理，订单发送前请仔细核对信息, 订单接收2小时后将不能再更改。
3.修饰请用下拉菜单中我们公司的专用代码，如果没有的修饰种类请在备注栏中备注或电话联系我们。
4.特殊碱基和中间修饰填写请参照”填写说明“。
5.交付形式可通过左侧下拉菜单选择，不填写默认为“干粉”；液体交付的订单，收到货后请及时正面朝上存放，防止渗漏。
6.技术支持邮箱：blg-support@bioligo.com。</t>
    <phoneticPr fontId="1" type="noConversion"/>
  </si>
  <si>
    <t>5'6-FAM,3'BHQ1,</t>
  </si>
  <si>
    <t>5'6-FAM,3'DABCYL,</t>
  </si>
  <si>
    <t>5'6-FAM,3'Eclipse,</t>
  </si>
  <si>
    <t>5'6-FAM,3'MGB,</t>
  </si>
  <si>
    <t>5'6-FAM,3'Super Quencher 1,</t>
  </si>
  <si>
    <t>5'6-FAM,3'TAMRA,</t>
  </si>
  <si>
    <t>5'AF350,3'BHQ0,</t>
  </si>
  <si>
    <t>5'AF350,3'MGB,</t>
  </si>
  <si>
    <t>5'AF430,3'BHQ1,</t>
  </si>
  <si>
    <t>5'AF647,3'BHQ3,</t>
  </si>
  <si>
    <t>5'AF750,3'BHQ3,</t>
  </si>
  <si>
    <t>5'Alexa Fluor 405,3'BHQ0,</t>
  </si>
  <si>
    <t>5'Alexa Fluor 405,3'DABCYL,</t>
  </si>
  <si>
    <t>5'Alexa Fluor 405,3'Eclipse,</t>
  </si>
  <si>
    <t>5'Alexa Fluor 405,3'MGB,</t>
  </si>
  <si>
    <t>5'Alexa Fluor 405,3'Super Quencher 0,</t>
  </si>
  <si>
    <t>5'Alexa Fluor 594,3'BHQ2,</t>
  </si>
  <si>
    <t>5'AMCA,3'Super Quencher 1,</t>
  </si>
  <si>
    <t>5'ATTO 594,3'BHQ2,</t>
  </si>
  <si>
    <t>5'ATTO 647N,3'BHQ2,</t>
  </si>
  <si>
    <t>5'ATTO 647N,3'MGB,</t>
  </si>
  <si>
    <t>5'ATTO425,3'BHQ0,</t>
  </si>
  <si>
    <t>5'ATTO425,3'BHQ1,</t>
  </si>
  <si>
    <t>5'ATTO425,3'MGB,</t>
  </si>
  <si>
    <t>5'ATTO425,3'Super Quencher 1,</t>
  </si>
  <si>
    <t>5'ATTO550,3'BHQ2,</t>
  </si>
  <si>
    <t>5'ATTO550,3'Super Quencher-X,</t>
  </si>
  <si>
    <t>5'BECU_BF650,3'BHQ2,</t>
  </si>
  <si>
    <t>5'BECU_BF650,3'DABCYL,</t>
  </si>
  <si>
    <t>5'BECU_BF650,3'MGB,</t>
  </si>
  <si>
    <t>5'BECU_BF650,3'RQP,</t>
  </si>
  <si>
    <t>5'BF490,3'RQ,</t>
  </si>
  <si>
    <t>5'BF490,3'RQA,</t>
  </si>
  <si>
    <t>5'BF490,3'RQP,</t>
  </si>
  <si>
    <t>5'BF492,3'RQ,</t>
  </si>
  <si>
    <t>5'BF492,3'RQP,</t>
  </si>
  <si>
    <t>5'BF494,3'RQ,</t>
  </si>
  <si>
    <t>5'BF494,3'RQP,</t>
  </si>
  <si>
    <t>5'BF533,3'RQA,</t>
  </si>
  <si>
    <t>5'BF533,3'RQP,</t>
  </si>
  <si>
    <t>5'BF552,3'RQ,</t>
  </si>
  <si>
    <t>5'BF552,3'RQP,</t>
  </si>
  <si>
    <t>5'BF582,3'RQ,</t>
  </si>
  <si>
    <t>5'BF582,3'RQP,</t>
  </si>
  <si>
    <t>5'BF590,3'RQ,</t>
  </si>
  <si>
    <t>5'BF590,3'RQA,</t>
  </si>
  <si>
    <t>5'BF590,3'RQP,</t>
  </si>
  <si>
    <t>5'BF595,3'BHQ2,</t>
  </si>
  <si>
    <t>5'BF648,3'RQ,</t>
  </si>
  <si>
    <t>5'BF648,3'RQA,</t>
  </si>
  <si>
    <t>5'BF648,3'RQP,</t>
  </si>
  <si>
    <t>5'BF652,3'RQ,</t>
  </si>
  <si>
    <t>5'BF652,3'RQP,</t>
  </si>
  <si>
    <t>5'BF672,3'RQ,</t>
  </si>
  <si>
    <t>5'BF672,3'RQP,</t>
  </si>
  <si>
    <t>5'BF688,3'BHQ3,</t>
  </si>
  <si>
    <t>5'BHQ1,3'6-FAM,</t>
  </si>
  <si>
    <t>5'BHQ2,3'CY5,</t>
  </si>
  <si>
    <t>5'BHQ2,3'Phosphate,</t>
  </si>
  <si>
    <t>5'CF405L,3'BHQ1,</t>
  </si>
  <si>
    <t>5'CY3,3'BHQ2,</t>
  </si>
  <si>
    <t>5'CY3,3'DABCYL,</t>
  </si>
  <si>
    <t>5'CY3,3'Eclipse,</t>
  </si>
  <si>
    <t>5'CY3,3'MGB,</t>
  </si>
  <si>
    <t>5'CY3,3'Super Quencher-X,</t>
  </si>
  <si>
    <t>5'CY3,3'TAMRA,</t>
  </si>
  <si>
    <t>5'CY5,3'BBQ650,</t>
  </si>
  <si>
    <t>5'CY5,3'BHQ2,</t>
  </si>
  <si>
    <t>5'CY5,3'BHQ3,</t>
  </si>
  <si>
    <t>5'CY5,3'DABCYL,</t>
  </si>
  <si>
    <t>5'CY5,3'MGB,</t>
  </si>
  <si>
    <t>5'CY5,3'Super Quencher 2,</t>
  </si>
  <si>
    <t>5'CY5.5,3'BHQ2,</t>
  </si>
  <si>
    <t>5'CY5.5,3'BHQ3,</t>
  </si>
  <si>
    <t>5'CY5.5,3'MGB,</t>
  </si>
  <si>
    <t>5'CY7,3'BHQ3,</t>
  </si>
  <si>
    <t>5'CY7,3'Super Quencher 3,</t>
  </si>
  <si>
    <t>5'dual FAM,3'BHQ1,</t>
  </si>
  <si>
    <t>5'HEX,3'BHQ1,</t>
  </si>
  <si>
    <t>5'HEX,3'DABCYL,</t>
  </si>
  <si>
    <t>5'HEX,3'Eclipse,</t>
  </si>
  <si>
    <t>5'HEX,3'MGB,</t>
  </si>
  <si>
    <t>5'HEX,3'Super Quencher 1,</t>
  </si>
  <si>
    <t>5'HEX,3'TAMRA,</t>
  </si>
  <si>
    <t>5'HEX-FAM,3'Super Quencher 1,</t>
  </si>
  <si>
    <t>5'JOE,3'BHQ1,</t>
  </si>
  <si>
    <t>5'JOE,3'DABCYL,</t>
  </si>
  <si>
    <t>5'JOE,3'Eclipse,</t>
  </si>
  <si>
    <t>5'JOE,3'MGB,</t>
  </si>
  <si>
    <t>5'JOE,3'Super Quencher 1,</t>
  </si>
  <si>
    <t>5'JOE,3'TAMRA,</t>
  </si>
  <si>
    <t>5'NED,3'DABCYL,</t>
  </si>
  <si>
    <t>5'NED,3'Eclipse,</t>
  </si>
  <si>
    <t>5'NED,3'MGB,</t>
  </si>
  <si>
    <t>5'NED,3'TAMRA,</t>
  </si>
  <si>
    <t>5'Quasar 670,3'BHQ2,</t>
  </si>
  <si>
    <t>5'Quasar 670,3'BHQ3,</t>
  </si>
  <si>
    <t>5'Quasar 670,3'MGB,</t>
  </si>
  <si>
    <t>5'Quasar 705,3'BHQ3,</t>
  </si>
  <si>
    <t>5'Quasar 705,3'MGB,</t>
  </si>
  <si>
    <t>5'Quasar 705,3'Super Quencher 3,</t>
  </si>
  <si>
    <t>5'rApp,3'Aminolinker C6,</t>
  </si>
  <si>
    <t>5'rApp,3'Aminolinker C7,</t>
  </si>
  <si>
    <t>5'ROX,3'BHQ2,</t>
  </si>
  <si>
    <t>5'ROX,3'DABCYL,</t>
  </si>
  <si>
    <t>5'ROX,3'Eclipse,</t>
  </si>
  <si>
    <t>5'ROX,3'MGB,</t>
  </si>
  <si>
    <t>5'ROX,3'Super Quencher-X,</t>
  </si>
  <si>
    <t>5'ROX,3'TAMRA,</t>
  </si>
  <si>
    <t>5'TAMRA,3'BHQ2,</t>
  </si>
  <si>
    <t>5'TAMRA,3'DABCYL,</t>
  </si>
  <si>
    <t>5'TAMRA,3'Eclipse,</t>
  </si>
  <si>
    <t>5'TAMRA,3'MGB,</t>
  </si>
  <si>
    <t>5'TAMRA,3'Super Quencher 1,</t>
  </si>
  <si>
    <t>5'TET,3'BHQ1,</t>
  </si>
  <si>
    <t>5'TET,3'DABCYL,</t>
  </si>
  <si>
    <t>5'TET,3'Eclipse,</t>
  </si>
  <si>
    <t>5'TET,3'MGB,</t>
  </si>
  <si>
    <t>5'TET,3'Super Quencher 1,</t>
  </si>
  <si>
    <t>5'TET,3'TAMRA,</t>
  </si>
  <si>
    <t>5'Texas Red-X,3'BHQ2,</t>
  </si>
  <si>
    <t>5'Texas Red-X,3'DABCYL,</t>
  </si>
  <si>
    <t>5'Texas Red-X,3'Eclipse,</t>
  </si>
  <si>
    <t>5'Texas Red-X,3'MGB,</t>
  </si>
  <si>
    <t>5'Texas Red-X,3'Super Quencher-X,</t>
  </si>
  <si>
    <t>5'Texas Red-X,3'TAMRA,</t>
  </si>
  <si>
    <t>5'VIC,3'BHQ1,</t>
  </si>
  <si>
    <t>5'VIC,3'DABCYL,</t>
  </si>
  <si>
    <t>5'VIC,3'Eclipse,</t>
  </si>
  <si>
    <t>5'VIC,3'MGB,</t>
  </si>
  <si>
    <t>5'VIC,3'Super Quencher 1,</t>
  </si>
  <si>
    <t>5'VIC,3'TAMRA,</t>
  </si>
  <si>
    <t>5'CY5.5,3'Super Quencher 3,</t>
    <phoneticPr fontId="1" type="noConversion"/>
  </si>
  <si>
    <t>/3Azide/</t>
    <phoneticPr fontId="1" type="noConversion"/>
  </si>
  <si>
    <r>
      <t>3</t>
    </r>
    <r>
      <rPr>
        <sz val="10"/>
        <color theme="1"/>
        <rFont val="微软雅黑"/>
        <family val="2"/>
        <charset val="134"/>
      </rPr>
      <t>'</t>
    </r>
    <r>
      <rPr>
        <sz val="10"/>
        <color theme="1"/>
        <rFont val="思源黑体"/>
        <family val="2"/>
        <charset val="134"/>
      </rPr>
      <t>Azide</t>
    </r>
    <phoneticPr fontId="1" type="noConversion"/>
  </si>
  <si>
    <t>5'BF595,3'Super Quencher-X,</t>
    <phoneticPr fontId="1" type="noConversion"/>
  </si>
  <si>
    <t>5'BF680,3'Super Quencher3,</t>
    <phoneticPr fontId="1" type="noConversion"/>
  </si>
  <si>
    <t>int-GNA-dA</t>
  </si>
  <si>
    <t>/iGNAdA/</t>
  </si>
  <si>
    <t>int-GNA-dC</t>
  </si>
  <si>
    <t>/iGNAdC/</t>
  </si>
  <si>
    <t>int-GNA-dG</t>
  </si>
  <si>
    <t>/iGNAdG/</t>
  </si>
  <si>
    <t>int-GNA-dT</t>
  </si>
  <si>
    <t>/iGNAdT/</t>
  </si>
  <si>
    <t>int-GNA-rU</t>
  </si>
  <si>
    <t>/iGNArU/</t>
  </si>
  <si>
    <t>int-LDNA-A</t>
  </si>
  <si>
    <t>/iLDNA-A/</t>
  </si>
  <si>
    <t>int-LDNA-C</t>
  </si>
  <si>
    <t>/iLDNA-C/</t>
  </si>
  <si>
    <t>int-LDNA-G</t>
  </si>
  <si>
    <t>/iLDNA-G/</t>
  </si>
  <si>
    <t>int-LDNA-T</t>
  </si>
  <si>
    <t>/iLDNA-T/</t>
  </si>
  <si>
    <t>int-Acridinium dT</t>
  </si>
  <si>
    <t>/iAEdT/</t>
  </si>
  <si>
    <t>int-AF555 dT</t>
  </si>
  <si>
    <t>/iAF555dT/</t>
  </si>
  <si>
    <t>int-Azide dT</t>
  </si>
  <si>
    <t>/iAzidedT/</t>
  </si>
  <si>
    <t>int-BF535</t>
  </si>
  <si>
    <t>/iBF535/</t>
  </si>
  <si>
    <t/>
  </si>
  <si>
    <t>int-CY5</t>
  </si>
  <si>
    <t>/iCY5/</t>
  </si>
  <si>
    <t>int-DBCO dT</t>
  </si>
  <si>
    <t>/iDBCOdT/</t>
  </si>
  <si>
    <t>int-Dihydroxy</t>
  </si>
  <si>
    <t>/iDHO/</t>
  </si>
  <si>
    <t>int-Eclipse</t>
  </si>
  <si>
    <t>/iEclipse/</t>
  </si>
  <si>
    <t>int-Ferrocene dT</t>
  </si>
  <si>
    <t>int-FTL</t>
  </si>
  <si>
    <t>/iFTL/</t>
  </si>
  <si>
    <t>int-inverted-dG</t>
  </si>
  <si>
    <t>/iinvdG/</t>
  </si>
  <si>
    <t>int-OG488 dT</t>
  </si>
  <si>
    <t>/iOG488dT/</t>
  </si>
  <si>
    <t>int-PC Linker</t>
  </si>
  <si>
    <t>/iPCLink/</t>
  </si>
  <si>
    <t>int-ROX</t>
  </si>
  <si>
    <t>/iROX/</t>
  </si>
  <si>
    <t>int-VIC</t>
  </si>
  <si>
    <t>/iVIC/</t>
  </si>
  <si>
    <t>5'BECU_BF620</t>
  </si>
  <si>
    <t>/5BF620/</t>
  </si>
  <si>
    <t>5'BECU_BF680</t>
  </si>
  <si>
    <t>/5BF680/</t>
  </si>
  <si>
    <t>5'BF435</t>
  </si>
  <si>
    <t>/5BF435/</t>
  </si>
  <si>
    <t>5'BF492</t>
  </si>
  <si>
    <t>/5BF492/</t>
  </si>
  <si>
    <t>5'BF493</t>
  </si>
  <si>
    <t>/5BF493/</t>
  </si>
  <si>
    <t>5'BF494</t>
  </si>
  <si>
    <t>/5BF494/</t>
  </si>
  <si>
    <t>5'BF552</t>
  </si>
  <si>
    <t>/5BF552/</t>
  </si>
  <si>
    <t>5'BF582</t>
  </si>
  <si>
    <t>/5BF582/</t>
  </si>
  <si>
    <t>5'BF595</t>
  </si>
  <si>
    <t>/5BF595/</t>
  </si>
  <si>
    <t>5'BF615</t>
  </si>
  <si>
    <t>/5BF615/</t>
  </si>
  <si>
    <t>5'BF647</t>
  </si>
  <si>
    <t>/5BF647/</t>
  </si>
  <si>
    <t>5'BF652</t>
  </si>
  <si>
    <t>/5BF652/</t>
  </si>
  <si>
    <t>5'BF672</t>
  </si>
  <si>
    <t>/5BF672/</t>
  </si>
  <si>
    <t>5'BF688</t>
  </si>
  <si>
    <t>/5BF688/</t>
  </si>
  <si>
    <t>5'BHQ3</t>
  </si>
  <si>
    <t>/5BHQ3/</t>
  </si>
  <si>
    <t>5'DBCO-TEG</t>
  </si>
  <si>
    <t>/5DBCO-TEG/</t>
  </si>
  <si>
    <t>5'MGB</t>
  </si>
  <si>
    <t>/5MGB/</t>
  </si>
  <si>
    <t>3'AF568</t>
  </si>
  <si>
    <t>/3AF568/</t>
  </si>
  <si>
    <t>3'AF647</t>
  </si>
  <si>
    <t>/3AF647/</t>
  </si>
  <si>
    <t>3'AF750</t>
  </si>
  <si>
    <t>/3AF750/</t>
  </si>
  <si>
    <t>3'ATTO647N</t>
  </si>
  <si>
    <t>/3ATTO647N/</t>
  </si>
  <si>
    <t>3'BECU_BF650</t>
  </si>
  <si>
    <t>/3BF650/</t>
  </si>
  <si>
    <t>3'C6-AF546</t>
  </si>
  <si>
    <t>/3C6-AF546/</t>
  </si>
  <si>
    <t>3'ddG</t>
  </si>
  <si>
    <t>/3ddG/</t>
  </si>
  <si>
    <t>3'ddT</t>
  </si>
  <si>
    <t>/3ddT/</t>
  </si>
  <si>
    <t>3'inverted dG</t>
  </si>
  <si>
    <t>/3invdG/</t>
  </si>
  <si>
    <t>3'MBP3</t>
  </si>
  <si>
    <t>/3MBP3/</t>
  </si>
  <si>
    <t>3'MGB0</t>
  </si>
  <si>
    <t>/3MGB0/</t>
  </si>
  <si>
    <t>3'MGBN</t>
  </si>
  <si>
    <t>/3MGBN/</t>
  </si>
  <si>
    <t>3'RQA</t>
  </si>
  <si>
    <t>/3RQA/</t>
  </si>
  <si>
    <t>3'TPA</t>
  </si>
  <si>
    <t>/3TPA/</t>
  </si>
  <si>
    <t>3'Triple SH</t>
  </si>
  <si>
    <t>/3Triple SH/</t>
  </si>
  <si>
    <t>5'BECU_BF650,3'Super Quencher 2,</t>
    <phoneticPr fontId="31" type="noConversion"/>
  </si>
  <si>
    <t>5'BF533,3'RQ,</t>
    <phoneticPr fontId="31" type="noConversion"/>
  </si>
  <si>
    <t>5'BF533,3'RQP-MGB,</t>
    <phoneticPr fontId="65" type="noConversion"/>
  </si>
  <si>
    <t>5'BF590,3'RQP-MGB,</t>
    <phoneticPr fontId="65" type="noConversion"/>
  </si>
  <si>
    <t>5'BF648,3'RQP-MGB,</t>
    <phoneticPr fontId="65" type="noConversion"/>
  </si>
  <si>
    <t>5'BF490,3'RQP-MGB,</t>
    <phoneticPr fontId="65" type="noConversion"/>
  </si>
  <si>
    <t>3'RQP</t>
    <phoneticPr fontId="1" type="noConversion"/>
  </si>
  <si>
    <t>3'RQP-MGB</t>
    <phoneticPr fontId="1" type="noConversion"/>
  </si>
  <si>
    <t>/3RQP-MGB/</t>
    <phoneticPr fontId="1" type="noConversion"/>
  </si>
  <si>
    <r>
      <t>5'CY</t>
    </r>
    <r>
      <rPr>
        <sz val="10"/>
        <color theme="1"/>
        <rFont val="微软雅黑"/>
        <family val="2"/>
        <charset val="134"/>
      </rPr>
      <t>-5</t>
    </r>
    <phoneticPr fontId="1" type="noConversion"/>
  </si>
  <si>
    <t>/5CY-5/</t>
    <phoneticPr fontId="1" type="noConversion"/>
  </si>
  <si>
    <t>/5CY5.5/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</si>
</sst>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6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2"/>
      <scheme val="minor"/>
    </font>
    <font>
      <b/>
      <sz val="12"/>
      <name val="宋体"/>
      <family val="2"/>
      <scheme val="minor"/>
    </font>
    <font>
      <b/>
      <sz val="10"/>
      <color theme="0"/>
      <name val="宋体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u/>
      <sz val="12"/>
      <color indexed="12"/>
      <name val="宋体"/>
      <family val="3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新細明體"/>
      <family val="1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10"/>
      <color rgb="FFFF0000"/>
      <name val="思源黑体"/>
      <family val="2"/>
      <charset val="134"/>
    </font>
    <font>
      <b/>
      <sz val="11"/>
      <color theme="1"/>
      <name val="思源黑体"/>
      <family val="2"/>
      <charset val="134"/>
    </font>
    <font>
      <sz val="12"/>
      <name val="思源黑体"/>
      <family val="2"/>
      <charset val="134"/>
    </font>
    <font>
      <sz val="10"/>
      <color theme="1"/>
      <name val="思源黑体"/>
      <family val="2"/>
      <charset val="134"/>
    </font>
    <font>
      <b/>
      <sz val="10"/>
      <color theme="1"/>
      <name val="思源黑体"/>
      <family val="2"/>
      <charset val="134"/>
    </font>
    <font>
      <b/>
      <sz val="10"/>
      <color rgb="FF000000"/>
      <name val="思源黑体"/>
      <family val="2"/>
      <charset val="134"/>
    </font>
    <font>
      <sz val="10"/>
      <color rgb="FF000000"/>
      <name val="思源黑体"/>
      <family val="2"/>
      <charset val="134"/>
    </font>
    <font>
      <sz val="8"/>
      <color theme="1"/>
      <name val="思源黑体"/>
      <family val="2"/>
      <charset val="134"/>
    </font>
    <font>
      <sz val="10"/>
      <name val="思源黑体"/>
      <family val="2"/>
      <charset val="134"/>
    </font>
    <font>
      <b/>
      <sz val="10"/>
      <color theme="4"/>
      <name val="思源黑体"/>
      <family val="2"/>
      <charset val="134"/>
    </font>
    <font>
      <sz val="10"/>
      <color rgb="FF2741B1"/>
      <name val="思源黑体"/>
      <family val="2"/>
      <charset val="134"/>
    </font>
    <font>
      <b/>
      <sz val="10"/>
      <color rgb="FF2741B1"/>
      <name val="思源黑体"/>
      <family val="2"/>
      <charset val="134"/>
    </font>
    <font>
      <sz val="9"/>
      <name val="思源黑体"/>
      <family val="2"/>
      <charset val="134"/>
    </font>
    <font>
      <b/>
      <sz val="9"/>
      <name val="思源黑体"/>
      <family val="2"/>
      <charset val="134"/>
    </font>
    <font>
      <sz val="10"/>
      <color rgb="FFFF0000"/>
      <name val="思源黑体"/>
      <family val="2"/>
      <charset val="134"/>
    </font>
    <font>
      <b/>
      <sz val="12"/>
      <color rgb="FFFFFFFF"/>
      <name val="思源黑体"/>
      <family val="2"/>
      <charset val="134"/>
    </font>
    <font>
      <sz val="14"/>
      <name val="思源黑体"/>
      <family val="2"/>
      <charset val="134"/>
    </font>
    <font>
      <b/>
      <sz val="11"/>
      <color rgb="FFFFFFFF"/>
      <name val="思源黑体"/>
      <family val="2"/>
      <charset val="134"/>
    </font>
    <font>
      <b/>
      <sz val="16"/>
      <name val="思源黑体"/>
      <family val="2"/>
      <charset val="134"/>
    </font>
    <font>
      <b/>
      <sz val="10"/>
      <color rgb="FF0070C0"/>
      <name val="思源黑体"/>
      <family val="2"/>
      <charset val="134"/>
    </font>
    <font>
      <sz val="10"/>
      <color indexed="17"/>
      <name val="思源黑体"/>
      <family val="2"/>
      <charset val="134"/>
    </font>
    <font>
      <sz val="10"/>
      <color indexed="10"/>
      <name val="思源黑体"/>
      <family val="2"/>
      <charset val="134"/>
    </font>
    <font>
      <b/>
      <sz val="10"/>
      <name val="思源黑体"/>
      <family val="2"/>
      <charset val="134"/>
    </font>
    <font>
      <b/>
      <sz val="10"/>
      <color indexed="10"/>
      <name val="思源黑体"/>
      <family val="2"/>
      <charset val="134"/>
    </font>
    <font>
      <u/>
      <sz val="10"/>
      <color indexed="12"/>
      <name val="思源黑体"/>
      <family val="2"/>
      <charset val="134"/>
    </font>
    <font>
      <sz val="10"/>
      <color indexed="12"/>
      <name val="思源黑体"/>
      <family val="2"/>
      <charset val="134"/>
    </font>
    <font>
      <sz val="10"/>
      <color rgb="FF0000FF"/>
      <name val="思源黑体"/>
      <family val="2"/>
      <charset val="134"/>
    </font>
    <font>
      <sz val="10"/>
      <color indexed="56"/>
      <name val="思源黑体"/>
      <family val="2"/>
      <charset val="134"/>
    </font>
    <font>
      <b/>
      <sz val="9"/>
      <color rgb="FFFF0000"/>
      <name val="思源黑体"/>
      <family val="2"/>
      <charset val="134"/>
    </font>
    <font>
      <sz val="9"/>
      <name val="Microsoft YaHei UI"/>
      <family val="2"/>
      <charset val="134"/>
    </font>
    <font>
      <b/>
      <sz val="12"/>
      <name val="思源黑体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1">
    <xf numFmtId="0" fontId="0" fillId="0" borderId="0">
      <alignment vertical="top"/>
    </xf>
    <xf numFmtId="0" fontId="15" fillId="0" borderId="0">
      <alignment vertical="top"/>
      <protection locked="0"/>
    </xf>
    <xf numFmtId="0" fontId="11" fillId="1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1" fillId="14" borderId="0" applyNumberFormat="0" applyBorder="0" applyAlignment="0" applyProtection="0"/>
    <xf numFmtId="0" fontId="30" fillId="0" borderId="0">
      <alignment vertical="center"/>
    </xf>
    <xf numFmtId="0" fontId="14" fillId="12" borderId="21" applyNumberFormat="0" applyAlignment="0" applyProtection="0"/>
    <xf numFmtId="0" fontId="12" fillId="0" borderId="23" applyNumberFormat="0" applyFill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3" fillId="9" borderId="0" applyNumberFormat="0" applyBorder="0" applyAlignment="0" applyProtection="0"/>
    <xf numFmtId="0" fontId="11" fillId="10" borderId="0" applyNumberFormat="0" applyBorder="0" applyAlignment="0" applyProtection="0"/>
    <xf numFmtId="0" fontId="13" fillId="8" borderId="0" applyNumberFormat="0" applyBorder="0" applyAlignment="0" applyProtection="0"/>
    <xf numFmtId="0" fontId="11" fillId="12" borderId="0" applyNumberFormat="0" applyBorder="0" applyAlignment="0" applyProtection="0"/>
    <xf numFmtId="0" fontId="13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5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8" fillId="18" borderId="0" applyNumberFormat="0" applyBorder="0" applyAlignment="0" applyProtection="0"/>
    <xf numFmtId="0" fontId="9" fillId="7" borderId="21" applyNumberFormat="0" applyAlignment="0" applyProtection="0"/>
    <xf numFmtId="0" fontId="19" fillId="26" borderId="24" applyNumberFormat="0" applyAlignment="0" applyProtection="0"/>
    <xf numFmtId="0" fontId="16" fillId="0" borderId="0" applyNumberFormat="0" applyFill="0" applyBorder="0" applyAlignment="0" applyProtection="0"/>
    <xf numFmtId="0" fontId="30" fillId="0" borderId="0">
      <alignment vertical="top"/>
    </xf>
    <xf numFmtId="0" fontId="17" fillId="19" borderId="0" applyNumberFormat="0" applyBorder="0" applyAlignment="0" applyProtection="0"/>
    <xf numFmtId="0" fontId="20" fillId="0" borderId="25" applyNumberFormat="0" applyFill="0" applyAlignment="0" applyProtection="0"/>
    <xf numFmtId="0" fontId="21" fillId="0" borderId="26" applyNumberFormat="0" applyFill="0" applyAlignment="0" applyProtection="0"/>
    <xf numFmtId="0" fontId="12" fillId="0" borderId="0" applyNumberFormat="0" applyFill="0" applyBorder="0" applyAlignment="0" applyProtection="0"/>
    <xf numFmtId="0" fontId="22" fillId="0" borderId="27" applyNumberFormat="0" applyFill="0" applyAlignment="0" applyProtection="0"/>
    <xf numFmtId="0" fontId="23" fillId="27" borderId="0" applyNumberFormat="0" applyBorder="0" applyAlignment="0" applyProtection="0"/>
    <xf numFmtId="0" fontId="30" fillId="28" borderId="28" applyNumberFormat="0" applyFont="0" applyAlignment="0" applyProtection="0"/>
    <xf numFmtId="0" fontId="24" fillId="7" borderId="29" applyNumberFormat="0" applyAlignment="0" applyProtection="0"/>
    <xf numFmtId="0" fontId="30" fillId="0" borderId="0">
      <alignment vertical="center"/>
    </xf>
    <xf numFmtId="0" fontId="25" fillId="0" borderId="0" applyNumberFormat="0" applyFill="0" applyBorder="0" applyAlignment="0" applyProtection="0"/>
    <xf numFmtId="0" fontId="10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30" fillId="0" borderId="0">
      <alignment vertical="center"/>
    </xf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>
      <alignment vertical="center"/>
    </xf>
  </cellStyleXfs>
  <cellXfs count="217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0" xfId="0" applyFont="1" applyAlignment="1">
      <alignment vertical="center"/>
    </xf>
    <xf numFmtId="0" fontId="4" fillId="0" borderId="1" xfId="0" applyFont="1" applyBorder="1" applyAlignment="1"/>
    <xf numFmtId="0" fontId="5" fillId="5" borderId="1" xfId="0" applyFont="1" applyFill="1" applyBorder="1" applyAlignment="1">
      <alignment horizontal="center" vertical="center"/>
    </xf>
    <xf numFmtId="0" fontId="3" fillId="0" borderId="1" xfId="45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/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/>
    <xf numFmtId="0" fontId="33" fillId="0" borderId="31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32" borderId="30" xfId="0" applyFont="1" applyFill="1" applyBorder="1" applyAlignment="1">
      <alignment vertical="center"/>
    </xf>
    <xf numFmtId="0" fontId="38" fillId="2" borderId="32" xfId="0" applyFont="1" applyFill="1" applyBorder="1" applyAlignment="1">
      <alignment horizontal="left" vertical="center"/>
    </xf>
    <xf numFmtId="0" fontId="36" fillId="0" borderId="30" xfId="0" applyFont="1" applyBorder="1" applyAlignment="1">
      <alignment vertical="center"/>
    </xf>
    <xf numFmtId="0" fontId="39" fillId="0" borderId="32" xfId="0" applyFont="1" applyBorder="1" applyAlignment="1">
      <alignment horizontal="left"/>
    </xf>
    <xf numFmtId="0" fontId="33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33" xfId="0" applyFont="1" applyBorder="1" applyAlignment="1">
      <alignment horizontal="center"/>
    </xf>
    <xf numFmtId="0" fontId="42" fillId="0" borderId="32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8" fillId="4" borderId="32" xfId="0" applyFont="1" applyFill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38" fillId="4" borderId="34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0" fontId="39" fillId="0" borderId="31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39" fillId="0" borderId="35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applyFont="1" applyBorder="1" applyAlignment="1">
      <alignment horizontal="left" vertical="center"/>
    </xf>
    <xf numFmtId="0" fontId="39" fillId="0" borderId="3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/>
    </xf>
    <xf numFmtId="0" fontId="39" fillId="31" borderId="0" xfId="0" applyFont="1" applyFill="1" applyAlignment="1">
      <alignment horizontal="left" vertical="center"/>
    </xf>
    <xf numFmtId="0" fontId="45" fillId="31" borderId="0" xfId="0" applyFont="1" applyFill="1" applyAlignment="1">
      <alignment horizontal="center" vertical="center" wrapText="1"/>
    </xf>
    <xf numFmtId="0" fontId="45" fillId="31" borderId="0" xfId="0" applyFont="1" applyFill="1" applyAlignment="1">
      <alignment horizontal="center" vertical="center"/>
    </xf>
    <xf numFmtId="0" fontId="39" fillId="31" borderId="0" xfId="0" applyFont="1" applyFill="1" applyAlignment="1">
      <alignment horizontal="center" vertical="center"/>
    </xf>
    <xf numFmtId="0" fontId="38" fillId="31" borderId="0" xfId="0" applyFont="1" applyFill="1" applyAlignment="1">
      <alignment horizontal="center" vertical="center"/>
    </xf>
    <xf numFmtId="0" fontId="46" fillId="31" borderId="0" xfId="0" applyFont="1" applyFill="1" applyAlignment="1">
      <alignment horizontal="center" vertical="center"/>
    </xf>
    <xf numFmtId="0" fontId="38" fillId="31" borderId="0" xfId="0" applyFont="1" applyFill="1" applyAlignment="1">
      <alignment horizontal="center"/>
    </xf>
    <xf numFmtId="0" fontId="38" fillId="32" borderId="0" xfId="0" applyFont="1" applyFill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4" fillId="0" borderId="32" xfId="0" applyFont="1" applyBorder="1" applyAlignment="1">
      <alignment horizontal="center"/>
    </xf>
    <xf numFmtId="0" fontId="39" fillId="0" borderId="38" xfId="0" applyFont="1" applyBorder="1" applyAlignment="1">
      <alignment horizontal="left"/>
    </xf>
    <xf numFmtId="0" fontId="39" fillId="31" borderId="0" xfId="0" applyFont="1" applyFill="1" applyAlignment="1">
      <alignment horizontal="left"/>
    </xf>
    <xf numFmtId="0" fontId="38" fillId="4" borderId="34" xfId="0" applyFont="1" applyFill="1" applyBorder="1" applyAlignment="1">
      <alignment horizontal="center" vertical="top"/>
    </xf>
    <xf numFmtId="0" fontId="39" fillId="0" borderId="31" xfId="0" applyFont="1" applyBorder="1" applyAlignment="1">
      <alignment horizontal="right" vertical="center"/>
    </xf>
    <xf numFmtId="0" fontId="39" fillId="0" borderId="32" xfId="0" applyFont="1" applyBorder="1" applyAlignment="1">
      <alignment horizontal="right" vertical="center"/>
    </xf>
    <xf numFmtId="0" fontId="39" fillId="31" borderId="0" xfId="0" applyFont="1" applyFill="1" applyAlignment="1">
      <alignment horizontal="right" vertical="center"/>
    </xf>
    <xf numFmtId="0" fontId="39" fillId="0" borderId="37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7" fillId="2" borderId="32" xfId="0" applyFont="1" applyFill="1" applyBorder="1" applyAlignment="1">
      <alignment horizontal="center" vertical="center"/>
    </xf>
    <xf numFmtId="0" fontId="37" fillId="31" borderId="0" xfId="0" applyFont="1" applyFill="1" applyAlignment="1">
      <alignment horizontal="center" vertical="center"/>
    </xf>
    <xf numFmtId="0" fontId="39" fillId="0" borderId="38" xfId="0" applyFont="1" applyBorder="1" applyAlignment="1">
      <alignment horizontal="left" wrapText="1"/>
    </xf>
    <xf numFmtId="0" fontId="36" fillId="31" borderId="0" xfId="0" applyFont="1" applyFill="1" applyAlignment="1">
      <alignment vertical="center"/>
    </xf>
    <xf numFmtId="0" fontId="36" fillId="31" borderId="0" xfId="0" applyFont="1" applyFill="1" applyAlignment="1">
      <alignment horizontal="center" vertical="center"/>
    </xf>
    <xf numFmtId="0" fontId="48" fillId="29" borderId="30" xfId="0" applyFont="1" applyFill="1" applyBorder="1" applyAlignment="1">
      <alignment horizontal="center" vertical="center"/>
    </xf>
    <xf numFmtId="0" fontId="48" fillId="29" borderId="30" xfId="0" applyFont="1" applyFill="1" applyBorder="1" applyAlignment="1">
      <alignment vertical="center"/>
    </xf>
    <xf numFmtId="0" fontId="48" fillId="30" borderId="30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39" fillId="0" borderId="11" xfId="0" applyFont="1" applyBorder="1" applyAlignment="1">
      <alignment vertical="center"/>
    </xf>
    <xf numFmtId="0" fontId="50" fillId="29" borderId="0" xfId="0" applyFont="1" applyFill="1" applyAlignment="1">
      <alignment vertical="center"/>
    </xf>
    <xf numFmtId="0" fontId="41" fillId="0" borderId="6" xfId="0" applyFont="1" applyBorder="1" applyAlignment="1">
      <alignment vertical="center"/>
    </xf>
    <xf numFmtId="0" fontId="36" fillId="30" borderId="0" xfId="0" applyFont="1" applyFill="1" applyAlignment="1">
      <alignment vertical="center"/>
    </xf>
    <xf numFmtId="0" fontId="41" fillId="0" borderId="11" xfId="0" applyFont="1" applyBorder="1" applyAlignment="1"/>
    <xf numFmtId="0" fontId="41" fillId="0" borderId="5" xfId="0" applyFont="1" applyBorder="1" applyAlignment="1"/>
    <xf numFmtId="0" fontId="36" fillId="30" borderId="5" xfId="0" applyFont="1" applyFill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9" fillId="0" borderId="7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41" fillId="0" borderId="30" xfId="0" applyFont="1" applyBorder="1" applyAlignment="1"/>
    <xf numFmtId="0" fontId="36" fillId="30" borderId="30" xfId="0" applyFont="1" applyFill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41" fillId="0" borderId="30" xfId="0" applyFont="1" applyBorder="1" applyAlignment="1">
      <alignment horizontal="left" vertical="center"/>
    </xf>
    <xf numFmtId="0" fontId="35" fillId="0" borderId="30" xfId="0" applyFont="1" applyBorder="1" applyAlignment="1">
      <alignment vertical="center"/>
    </xf>
    <xf numFmtId="0" fontId="35" fillId="30" borderId="0" xfId="0" applyFont="1" applyFill="1" applyAlignment="1">
      <alignment vertical="center"/>
    </xf>
    <xf numFmtId="0" fontId="35" fillId="30" borderId="30" xfId="0" applyFont="1" applyFill="1" applyBorder="1" applyAlignment="1">
      <alignment vertical="center"/>
    </xf>
    <xf numFmtId="0" fontId="35" fillId="0" borderId="39" xfId="0" applyFont="1" applyBorder="1" applyAlignment="1">
      <alignment vertical="center"/>
    </xf>
    <xf numFmtId="0" fontId="35" fillId="30" borderId="39" xfId="0" applyFont="1" applyFill="1" applyBorder="1" applyAlignment="1">
      <alignment vertical="center"/>
    </xf>
    <xf numFmtId="49" fontId="59" fillId="3" borderId="1" xfId="3" applyNumberFormat="1" applyFont="1" applyFill="1" applyBorder="1" applyAlignment="1" applyProtection="1">
      <alignment horizontal="left" vertical="center"/>
      <protection locked="0"/>
    </xf>
    <xf numFmtId="14" fontId="45" fillId="3" borderId="1" xfId="0" applyNumberFormat="1" applyFont="1" applyFill="1" applyBorder="1" applyAlignment="1" applyProtection="1">
      <alignment horizontal="center" vertical="center"/>
      <protection locked="0"/>
    </xf>
    <xf numFmtId="0" fontId="41" fillId="33" borderId="30" xfId="0" applyFont="1" applyFill="1" applyBorder="1" applyAlignment="1"/>
    <xf numFmtId="0" fontId="63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vertical="center"/>
      <protection locked="0"/>
    </xf>
    <xf numFmtId="0" fontId="52" fillId="3" borderId="40" xfId="0" applyFont="1" applyFill="1" applyBorder="1" applyAlignment="1" applyProtection="1">
      <alignment vertical="center"/>
      <protection locked="0"/>
    </xf>
    <xf numFmtId="0" fontId="52" fillId="3" borderId="4" xfId="0" applyFont="1" applyFill="1" applyBorder="1" applyAlignment="1" applyProtection="1">
      <alignment vertical="center"/>
      <protection locked="0"/>
    </xf>
    <xf numFmtId="0" fontId="46" fillId="3" borderId="1" xfId="0" applyFont="1" applyFill="1" applyBorder="1" applyAlignment="1" applyProtection="1">
      <alignment horizontal="center" vertical="center"/>
      <protection locked="0"/>
    </xf>
    <xf numFmtId="0" fontId="61" fillId="2" borderId="7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" borderId="1" xfId="0" applyFont="1" applyFill="1" applyBorder="1" applyAlignment="1" applyProtection="1">
      <alignment vertical="center"/>
      <protection locked="0"/>
    </xf>
    <xf numFmtId="0" fontId="45" fillId="0" borderId="1" xfId="0" applyFont="1" applyBorder="1" applyAlignment="1" applyProtection="1">
      <alignment vertical="center"/>
      <protection locked="0"/>
    </xf>
    <xf numFmtId="0" fontId="62" fillId="0" borderId="1" xfId="0" applyFont="1" applyBorder="1" applyAlignment="1" applyProtection="1">
      <alignment vertical="top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5" fillId="2" borderId="7" xfId="56" applyFont="1" applyFill="1" applyBorder="1" applyAlignment="1" applyProtection="1">
      <alignment horizontal="center" vertical="center"/>
      <protection locked="0"/>
    </xf>
    <xf numFmtId="0" fontId="63" fillId="0" borderId="30" xfId="0" applyFont="1" applyBorder="1" applyAlignment="1" applyProtection="1">
      <alignment horizontal="center" vertical="center"/>
      <protection locked="0"/>
    </xf>
    <xf numFmtId="0" fontId="45" fillId="2" borderId="5" xfId="0" applyFont="1" applyFill="1" applyBorder="1" applyAlignment="1" applyProtection="1">
      <alignment vertical="center"/>
      <protection locked="0"/>
    </xf>
    <xf numFmtId="0" fontId="45" fillId="0" borderId="4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7" fillId="4" borderId="7" xfId="0" applyFont="1" applyFill="1" applyBorder="1" applyAlignment="1">
      <alignment horizontal="center" vertical="center" wrapText="1"/>
    </xf>
    <xf numFmtId="0" fontId="37" fillId="4" borderId="40" xfId="0" applyFont="1" applyFill="1" applyBorder="1" applyAlignment="1">
      <alignment horizontal="center" vertical="center"/>
    </xf>
    <xf numFmtId="0" fontId="33" fillId="34" borderId="40" xfId="0" applyFont="1" applyFill="1" applyBorder="1" applyAlignment="1">
      <alignment horizontal="center" vertical="center"/>
    </xf>
    <xf numFmtId="49" fontId="52" fillId="3" borderId="7" xfId="0" applyNumberFormat="1" applyFont="1" applyFill="1" applyBorder="1" applyAlignment="1" applyProtection="1">
      <alignment horizontal="left" vertical="center"/>
      <protection locked="0"/>
    </xf>
    <xf numFmtId="0" fontId="41" fillId="3" borderId="1" xfId="0" applyFont="1" applyFill="1" applyBorder="1" applyAlignment="1" applyProtection="1">
      <alignment horizontal="left" vertical="center"/>
      <protection locked="0"/>
    </xf>
    <xf numFmtId="0" fontId="55" fillId="3" borderId="1" xfId="0" applyFont="1" applyFill="1" applyBorder="1" applyAlignment="1" applyProtection="1">
      <alignment vertical="center"/>
      <protection locked="0"/>
    </xf>
    <xf numFmtId="0" fontId="52" fillId="3" borderId="1" xfId="0" applyFont="1" applyFill="1" applyBorder="1" applyAlignment="1" applyProtection="1">
      <alignment vertical="center"/>
      <protection locked="0"/>
    </xf>
    <xf numFmtId="0" fontId="52" fillId="3" borderId="1" xfId="0" applyFont="1" applyFill="1" applyBorder="1" applyAlignment="1" applyProtection="1">
      <alignment horizontal="left" vertical="center"/>
      <protection locked="0"/>
    </xf>
    <xf numFmtId="0" fontId="52" fillId="3" borderId="18" xfId="0" applyFont="1" applyFill="1" applyBorder="1" applyAlignment="1" applyProtection="1">
      <alignment horizontal="left" vertical="center"/>
      <protection locked="0"/>
    </xf>
    <xf numFmtId="14" fontId="59" fillId="3" borderId="1" xfId="3" applyNumberFormat="1" applyFont="1" applyFill="1" applyBorder="1" applyAlignment="1" applyProtection="1">
      <alignment horizontal="left" vertical="center"/>
      <protection locked="0"/>
    </xf>
    <xf numFmtId="14" fontId="59" fillId="3" borderId="3" xfId="3" applyNumberFormat="1" applyFont="1" applyFill="1" applyBorder="1" applyAlignment="1" applyProtection="1">
      <alignment horizontal="left" vertical="center"/>
      <protection locked="0"/>
    </xf>
    <xf numFmtId="0" fontId="46" fillId="2" borderId="1" xfId="0" applyFont="1" applyFill="1" applyBorder="1" applyAlignment="1" applyProtection="1">
      <alignment horizontal="center" vertical="center"/>
      <protection locked="0"/>
    </xf>
    <xf numFmtId="0" fontId="46" fillId="4" borderId="1" xfId="0" applyFont="1" applyFill="1" applyBorder="1" applyAlignment="1" applyProtection="1">
      <alignment horizontal="center" vertical="center"/>
      <protection locked="0"/>
    </xf>
    <xf numFmtId="0" fontId="46" fillId="3" borderId="5" xfId="0" applyFont="1" applyFill="1" applyBorder="1" applyAlignment="1" applyProtection="1">
      <alignment horizontal="center" vertical="center"/>
      <protection locked="0"/>
    </xf>
    <xf numFmtId="0" fontId="46" fillId="4" borderId="5" xfId="0" applyFont="1" applyFill="1" applyBorder="1" applyAlignment="1" applyProtection="1">
      <alignment horizontal="center" vertical="center"/>
      <protection locked="0"/>
    </xf>
    <xf numFmtId="0" fontId="61" fillId="2" borderId="11" xfId="0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left" vertical="center"/>
    </xf>
    <xf numFmtId="0" fontId="41" fillId="0" borderId="41" xfId="0" applyFont="1" applyBorder="1" applyAlignment="1">
      <alignment vertical="center"/>
    </xf>
    <xf numFmtId="0" fontId="41" fillId="0" borderId="43" xfId="0" applyFont="1" applyBorder="1" applyAlignment="1">
      <alignment vertical="center"/>
    </xf>
    <xf numFmtId="0" fontId="41" fillId="0" borderId="41" xfId="0" applyFont="1" applyBorder="1" applyAlignment="1">
      <alignment horizontal="left" vertical="center"/>
    </xf>
    <xf numFmtId="0" fontId="41" fillId="0" borderId="43" xfId="0" applyFont="1" applyBorder="1" applyAlignment="1">
      <alignment horizontal="left" vertical="center"/>
    </xf>
    <xf numFmtId="0" fontId="41" fillId="0" borderId="42" xfId="0" applyFont="1" applyBorder="1" applyAlignment="1">
      <alignment vertical="center"/>
    </xf>
    <xf numFmtId="0" fontId="41" fillId="0" borderId="42" xfId="0" applyFont="1" applyBorder="1" applyAlignment="1">
      <alignment horizontal="left" vertical="center"/>
    </xf>
    <xf numFmtId="0" fontId="36" fillId="0" borderId="41" xfId="0" applyFont="1" applyBorder="1" applyAlignment="1">
      <alignment vertical="center"/>
    </xf>
    <xf numFmtId="0" fontId="36" fillId="0" borderId="43" xfId="0" applyFont="1" applyBorder="1" applyAlignment="1">
      <alignment vertical="center"/>
    </xf>
    <xf numFmtId="0" fontId="41" fillId="0" borderId="43" xfId="0" applyFont="1" applyBorder="1" applyAlignment="1"/>
    <xf numFmtId="0" fontId="41" fillId="0" borderId="42" xfId="0" applyFont="1" applyBorder="1" applyAlignment="1"/>
    <xf numFmtId="0" fontId="36" fillId="0" borderId="42" xfId="0" applyFont="1" applyBorder="1" applyAlignment="1">
      <alignment vertical="center"/>
    </xf>
    <xf numFmtId="0" fontId="41" fillId="0" borderId="41" xfId="0" applyFont="1" applyBorder="1" applyAlignment="1"/>
    <xf numFmtId="0" fontId="41" fillId="33" borderId="41" xfId="0" applyFont="1" applyFill="1" applyBorder="1" applyAlignment="1">
      <alignment vertical="center"/>
    </xf>
    <xf numFmtId="0" fontId="36" fillId="0" borderId="41" xfId="0" applyFont="1" applyBorder="1" applyAlignment="1">
      <alignment vertical="center" wrapText="1"/>
    </xf>
    <xf numFmtId="0" fontId="39" fillId="0" borderId="30" xfId="0" applyFont="1" applyBorder="1" applyAlignment="1">
      <alignment vertical="center"/>
    </xf>
    <xf numFmtId="49" fontId="59" fillId="3" borderId="1" xfId="3" applyNumberFormat="1" applyFont="1" applyFill="1" applyBorder="1" applyAlignment="1" applyProtection="1">
      <alignment horizontal="left" vertical="center"/>
      <protection locked="0"/>
    </xf>
    <xf numFmtId="49" fontId="57" fillId="3" borderId="1" xfId="3" applyNumberFormat="1" applyFont="1" applyFill="1" applyBorder="1" applyAlignment="1" applyProtection="1">
      <alignment horizontal="left" vertical="center"/>
      <protection locked="0"/>
    </xf>
    <xf numFmtId="49" fontId="59" fillId="3" borderId="1" xfId="3" applyNumberFormat="1" applyFont="1" applyFill="1" applyBorder="1" applyAlignment="1" applyProtection="1">
      <alignment horizontal="center" vertical="center"/>
      <protection locked="0"/>
    </xf>
    <xf numFmtId="49" fontId="57" fillId="3" borderId="1" xfId="3" applyNumberFormat="1" applyFont="1" applyFill="1" applyBorder="1" applyAlignment="1" applyProtection="1">
      <alignment horizontal="center" vertical="center"/>
      <protection locked="0"/>
    </xf>
    <xf numFmtId="0" fontId="53" fillId="0" borderId="8" xfId="0" applyFont="1" applyBorder="1" applyAlignment="1" applyProtection="1">
      <alignment horizontal="left" vertical="center"/>
      <protection locked="0"/>
    </xf>
    <xf numFmtId="0" fontId="53" fillId="0" borderId="9" xfId="0" applyFont="1" applyBorder="1" applyAlignment="1" applyProtection="1">
      <alignment horizontal="left" vertical="center"/>
      <protection locked="0"/>
    </xf>
    <xf numFmtId="0" fontId="53" fillId="0" borderId="19" xfId="0" applyFont="1" applyBorder="1" applyAlignment="1" applyProtection="1">
      <alignment horizontal="left" vertical="center"/>
      <protection locked="0"/>
    </xf>
    <xf numFmtId="14" fontId="41" fillId="3" borderId="13" xfId="0" applyNumberFormat="1" applyFont="1" applyFill="1" applyBorder="1" applyAlignment="1" applyProtection="1">
      <alignment horizontal="left" vertical="center" wrapText="1"/>
      <protection locked="0"/>
    </xf>
    <xf numFmtId="14" fontId="41" fillId="3" borderId="14" xfId="0" applyNumberFormat="1" applyFont="1" applyFill="1" applyBorder="1" applyAlignment="1" applyProtection="1">
      <alignment horizontal="left" vertical="center" wrapText="1"/>
      <protection locked="0"/>
    </xf>
    <xf numFmtId="0" fontId="53" fillId="0" borderId="10" xfId="0" applyFont="1" applyBorder="1" applyAlignment="1" applyProtection="1">
      <alignment horizontal="left" vertical="center"/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53" fillId="0" borderId="20" xfId="0" applyFont="1" applyBorder="1" applyAlignment="1" applyProtection="1">
      <alignment horizontal="left" vertical="center"/>
      <protection locked="0"/>
    </xf>
    <xf numFmtId="14" fontId="41" fillId="3" borderId="15" xfId="0" applyNumberFormat="1" applyFont="1" applyFill="1" applyBorder="1" applyAlignment="1" applyProtection="1">
      <alignment horizontal="left" vertical="center"/>
      <protection locked="0"/>
    </xf>
    <xf numFmtId="14" fontId="41" fillId="3" borderId="10" xfId="0" applyNumberFormat="1" applyFont="1" applyFill="1" applyBorder="1" applyAlignment="1" applyProtection="1">
      <alignment horizontal="left" vertical="center"/>
      <protection locked="0"/>
    </xf>
    <xf numFmtId="49" fontId="57" fillId="3" borderId="7" xfId="3" applyNumberFormat="1" applyFont="1" applyFill="1" applyBorder="1" applyAlignment="1" applyProtection="1">
      <alignment horizontal="center" vertical="center"/>
      <protection locked="0"/>
    </xf>
    <xf numFmtId="0" fontId="35" fillId="0" borderId="8" xfId="0" applyFont="1" applyBorder="1" applyAlignment="1" applyProtection="1">
      <alignment horizontal="center" vertical="center"/>
      <protection locked="0"/>
    </xf>
    <xf numFmtId="0" fontId="35" fillId="0" borderId="10" xfId="0" applyFont="1" applyBorder="1" applyAlignment="1" applyProtection="1">
      <alignment horizontal="center" vertical="center"/>
      <protection locked="0"/>
    </xf>
    <xf numFmtId="0" fontId="35" fillId="0" borderId="11" xfId="0" applyFont="1" applyBorder="1" applyAlignment="1" applyProtection="1">
      <alignment horizontal="center" vertical="center"/>
      <protection locked="0"/>
    </xf>
    <xf numFmtId="0" fontId="51" fillId="3" borderId="9" xfId="0" applyFont="1" applyFill="1" applyBorder="1" applyAlignment="1" applyProtection="1">
      <alignment horizontal="center" vertical="center"/>
      <protection locked="0"/>
    </xf>
    <xf numFmtId="0" fontId="51" fillId="3" borderId="19" xfId="0" applyFont="1" applyFill="1" applyBorder="1" applyAlignment="1" applyProtection="1">
      <alignment horizontal="center" vertical="center"/>
      <protection locked="0"/>
    </xf>
    <xf numFmtId="0" fontId="51" fillId="3" borderId="0" xfId="0" applyFont="1" applyFill="1" applyAlignment="1" applyProtection="1">
      <alignment horizontal="center" vertical="center"/>
      <protection locked="0"/>
    </xf>
    <xf numFmtId="0" fontId="51" fillId="3" borderId="20" xfId="0" applyFont="1" applyFill="1" applyBorder="1" applyAlignment="1" applyProtection="1">
      <alignment horizontal="center" vertical="center"/>
      <protection locked="0"/>
    </xf>
    <xf numFmtId="0" fontId="51" fillId="3" borderId="12" xfId="0" applyFont="1" applyFill="1" applyBorder="1" applyAlignment="1" applyProtection="1">
      <alignment horizontal="center" vertical="center"/>
      <protection locked="0"/>
    </xf>
    <xf numFmtId="0" fontId="51" fillId="3" borderId="6" xfId="0" applyFont="1" applyFill="1" applyBorder="1" applyAlignment="1" applyProtection="1">
      <alignment horizontal="center" vertical="center"/>
      <protection locked="0"/>
    </xf>
    <xf numFmtId="49" fontId="57" fillId="3" borderId="3" xfId="3" applyNumberFormat="1" applyFont="1" applyFill="1" applyBorder="1" applyAlignment="1" applyProtection="1">
      <alignment horizontal="left" vertical="center"/>
      <protection locked="0"/>
    </xf>
    <xf numFmtId="49" fontId="58" fillId="3" borderId="3" xfId="0" applyNumberFormat="1" applyFont="1" applyFill="1" applyBorder="1" applyAlignment="1" applyProtection="1">
      <alignment horizontal="left" vertical="center"/>
      <protection locked="0"/>
    </xf>
    <xf numFmtId="49" fontId="58" fillId="4" borderId="3" xfId="0" applyNumberFormat="1" applyFont="1" applyFill="1" applyBorder="1" applyAlignment="1" applyProtection="1">
      <alignment horizontal="left" vertical="center"/>
      <protection locked="0"/>
    </xf>
    <xf numFmtId="49" fontId="58" fillId="6" borderId="3" xfId="0" applyNumberFormat="1" applyFont="1" applyFill="1" applyBorder="1" applyAlignment="1" applyProtection="1">
      <alignment horizontal="left" vertical="center"/>
      <protection locked="0"/>
    </xf>
    <xf numFmtId="49" fontId="58" fillId="6" borderId="18" xfId="0" applyNumberFormat="1" applyFont="1" applyFill="1" applyBorder="1" applyAlignment="1" applyProtection="1">
      <alignment horizontal="left" vertical="center"/>
      <protection locked="0"/>
    </xf>
    <xf numFmtId="14" fontId="41" fillId="3" borderId="16" xfId="0" applyNumberFormat="1" applyFont="1" applyFill="1" applyBorder="1" applyAlignment="1" applyProtection="1">
      <alignment horizontal="left" vertical="center"/>
      <protection locked="0"/>
    </xf>
    <xf numFmtId="14" fontId="41" fillId="3" borderId="17" xfId="0" applyNumberFormat="1" applyFont="1" applyFill="1" applyBorder="1" applyAlignment="1" applyProtection="1">
      <alignment horizontal="left" vertical="center"/>
      <protection locked="0"/>
    </xf>
    <xf numFmtId="0" fontId="53" fillId="0" borderId="11" xfId="1" applyFont="1" applyBorder="1" applyAlignment="1">
      <alignment horizontal="left" vertical="center"/>
      <protection locked="0"/>
    </xf>
    <xf numFmtId="0" fontId="53" fillId="0" borderId="12" xfId="1" applyFont="1" applyBorder="1" applyAlignment="1">
      <alignment horizontal="left" vertical="center"/>
      <protection locked="0"/>
    </xf>
    <xf numFmtId="0" fontId="53" fillId="0" borderId="6" xfId="1" applyFont="1" applyBorder="1" applyAlignment="1">
      <alignment horizontal="left" vertical="center"/>
      <protection locked="0"/>
    </xf>
    <xf numFmtId="14" fontId="41" fillId="4" borderId="2" xfId="0" applyNumberFormat="1" applyFont="1" applyFill="1" applyBorder="1" applyAlignment="1" applyProtection="1">
      <alignment horizontal="left" vertical="center"/>
      <protection locked="0"/>
    </xf>
    <xf numFmtId="0" fontId="47" fillId="3" borderId="10" xfId="0" applyFont="1" applyFill="1" applyBorder="1" applyAlignment="1" applyProtection="1">
      <alignment horizontal="left" vertical="top" wrapText="1"/>
      <protection locked="0"/>
    </xf>
    <xf numFmtId="0" fontId="47" fillId="3" borderId="0" xfId="0" applyFont="1" applyFill="1" applyAlignment="1" applyProtection="1">
      <alignment horizontal="left" vertical="top" wrapText="1"/>
      <protection locked="0"/>
    </xf>
    <xf numFmtId="0" fontId="47" fillId="3" borderId="20" xfId="0" applyFont="1" applyFill="1" applyBorder="1" applyAlignment="1" applyProtection="1">
      <alignment horizontal="left" vertical="top" wrapText="1"/>
      <protection locked="0"/>
    </xf>
    <xf numFmtId="0" fontId="60" fillId="0" borderId="30" xfId="0" applyFont="1" applyBorder="1" applyAlignment="1" applyProtection="1">
      <alignment horizontal="left" vertical="center" wrapText="1"/>
      <protection locked="0"/>
    </xf>
    <xf numFmtId="0" fontId="60" fillId="0" borderId="18" xfId="0" applyFont="1" applyBorder="1" applyAlignment="1" applyProtection="1">
      <alignment horizontal="left" vertical="center" wrapText="1"/>
      <protection locked="0"/>
    </xf>
    <xf numFmtId="0" fontId="52" fillId="3" borderId="8" xfId="0" applyFont="1" applyFill="1" applyBorder="1" applyAlignment="1" applyProtection="1">
      <alignment horizontal="left" vertical="center" wrapText="1"/>
      <protection locked="0"/>
    </xf>
    <xf numFmtId="0" fontId="52" fillId="3" borderId="9" xfId="0" applyFont="1" applyFill="1" applyBorder="1" applyAlignment="1" applyProtection="1">
      <alignment horizontal="left" vertical="center"/>
      <protection locked="0"/>
    </xf>
    <xf numFmtId="0" fontId="52" fillId="3" borderId="19" xfId="0" applyFont="1" applyFill="1" applyBorder="1" applyAlignment="1" applyProtection="1">
      <alignment horizontal="left" vertical="center"/>
      <protection locked="0"/>
    </xf>
    <xf numFmtId="176" fontId="41" fillId="3" borderId="15" xfId="0" applyNumberFormat="1" applyFont="1" applyFill="1" applyBorder="1" applyAlignment="1" applyProtection="1">
      <alignment horizontal="left" vertical="center"/>
      <protection locked="0"/>
    </xf>
    <xf numFmtId="14" fontId="35" fillId="3" borderId="2" xfId="0" applyNumberFormat="1" applyFont="1" applyFill="1" applyBorder="1" applyAlignment="1" applyProtection="1">
      <alignment horizontal="left" vertical="center" wrapText="1"/>
      <protection locked="0"/>
    </xf>
    <xf numFmtId="0" fontId="5" fillId="5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8" fillId="0" borderId="33" xfId="0" applyFont="1" applyBorder="1" applyAlignment="1">
      <alignment horizontal="left"/>
    </xf>
    <xf numFmtId="0" fontId="38" fillId="0" borderId="38" xfId="0" applyFont="1" applyBorder="1" applyAlignment="1">
      <alignment horizontal="left"/>
    </xf>
    <xf numFmtId="0" fontId="38" fillId="0" borderId="34" xfId="0" applyFont="1" applyBorder="1" applyAlignment="1">
      <alignment horizontal="left"/>
    </xf>
    <xf numFmtId="0" fontId="44" fillId="0" borderId="33" xfId="0" applyFont="1" applyBorder="1" applyAlignment="1">
      <alignment horizontal="left"/>
    </xf>
    <xf numFmtId="0" fontId="44" fillId="0" borderId="38" xfId="0" applyFont="1" applyBorder="1" applyAlignment="1">
      <alignment horizontal="left"/>
    </xf>
    <xf numFmtId="0" fontId="44" fillId="0" borderId="34" xfId="0" applyFont="1" applyBorder="1" applyAlignment="1">
      <alignment horizontal="left"/>
    </xf>
    <xf numFmtId="0" fontId="42" fillId="0" borderId="35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2" fillId="0" borderId="37" xfId="0" applyFont="1" applyBorder="1" applyAlignment="1">
      <alignment horizontal="left"/>
    </xf>
    <xf numFmtId="0" fontId="38" fillId="2" borderId="33" xfId="0" applyFont="1" applyFill="1" applyBorder="1" applyAlignment="1">
      <alignment horizontal="left" vertical="center"/>
    </xf>
    <xf numFmtId="0" fontId="38" fillId="2" borderId="34" xfId="0" applyFont="1" applyFill="1" applyBorder="1" applyAlignment="1">
      <alignment horizontal="left" vertical="center"/>
    </xf>
    <xf numFmtId="0" fontId="39" fillId="0" borderId="33" xfId="0" applyFont="1" applyBorder="1" applyAlignment="1">
      <alignment horizontal="left"/>
    </xf>
    <xf numFmtId="0" fontId="39" fillId="0" borderId="34" xfId="0" applyFont="1" applyBorder="1" applyAlignment="1">
      <alignment horizontal="left"/>
    </xf>
    <xf numFmtId="14" fontId="41" fillId="0" borderId="30" xfId="0" applyNumberFormat="1" applyFont="1" applyBorder="1" applyAlignment="1" applyProtection="1">
      <alignment horizontal="left" vertical="center"/>
      <protection locked="0"/>
    </xf>
  </cellXfs>
  <cellStyles count="61">
    <cellStyle name="20% - Accent1" xfId="17" xr:uid="{00000000-0005-0000-0000-00003F000000}"/>
    <cellStyle name="20% - Accent2" xfId="8" xr:uid="{00000000-0005-0000-0000-000029000000}"/>
    <cellStyle name="20% - Accent3" xfId="9" xr:uid="{00000000-0005-0000-0000-00002C000000}"/>
    <cellStyle name="20% - Accent4" xfId="2" xr:uid="{00000000-0005-0000-0000-000006000000}"/>
    <cellStyle name="20% - Accent5" xfId="13" xr:uid="{00000000-0005-0000-0000-000034000000}"/>
    <cellStyle name="20% - Accent6" xfId="15" xr:uid="{00000000-0005-0000-0000-000038000000}"/>
    <cellStyle name="40% - Accent1" xfId="18" xr:uid="{00000000-0005-0000-0000-000040000000}"/>
    <cellStyle name="40% - Accent2" xfId="19" xr:uid="{00000000-0005-0000-0000-000041000000}"/>
    <cellStyle name="40% - Accent3" xfId="20" xr:uid="{00000000-0005-0000-0000-000042000000}"/>
    <cellStyle name="40% - Accent4" xfId="21" xr:uid="{00000000-0005-0000-0000-000043000000}"/>
    <cellStyle name="40% - Accent5" xfId="22" xr:uid="{00000000-0005-0000-0000-000044000000}"/>
    <cellStyle name="40% - Accent6" xfId="4" xr:uid="{00000000-0005-0000-0000-00000E000000}"/>
    <cellStyle name="60% - Accent1" xfId="12" xr:uid="{00000000-0005-0000-0000-000033000000}"/>
    <cellStyle name="60% - Accent2" xfId="14" xr:uid="{00000000-0005-0000-0000-000037000000}"/>
    <cellStyle name="60% - Accent3" xfId="16" xr:uid="{00000000-0005-0000-0000-00003C000000}"/>
    <cellStyle name="60% - Accent4" xfId="23" xr:uid="{00000000-0005-0000-0000-000045000000}"/>
    <cellStyle name="60% - Accent5" xfId="24" xr:uid="{00000000-0005-0000-0000-000046000000}"/>
    <cellStyle name="60% - Accent6" xfId="25" xr:uid="{00000000-0005-0000-0000-000047000000}"/>
    <cellStyle name="Accent1" xfId="26" xr:uid="{00000000-0005-0000-0000-000048000000}"/>
    <cellStyle name="Accent2" xfId="27" xr:uid="{00000000-0005-0000-0000-000049000000}"/>
    <cellStyle name="Accent3" xfId="28" xr:uid="{00000000-0005-0000-0000-00004A000000}"/>
    <cellStyle name="Accent4" xfId="29" xr:uid="{00000000-0005-0000-0000-00004B000000}"/>
    <cellStyle name="Accent5" xfId="30" xr:uid="{00000000-0005-0000-0000-00004C000000}"/>
    <cellStyle name="Accent6" xfId="31" xr:uid="{00000000-0005-0000-0000-00004D000000}"/>
    <cellStyle name="Bad" xfId="32" xr:uid="{00000000-0005-0000-0000-00004E000000}"/>
    <cellStyle name="Calculation" xfId="33" xr:uid="{00000000-0005-0000-0000-00004F000000}"/>
    <cellStyle name="Check Cell" xfId="34" xr:uid="{00000000-0005-0000-0000-000050000000}"/>
    <cellStyle name="Explanatory Text" xfId="35" xr:uid="{00000000-0005-0000-0000-000051000000}"/>
    <cellStyle name="Good" xfId="37" xr:uid="{00000000-0005-0000-0000-000053000000}"/>
    <cellStyle name="Heading 1" xfId="38" xr:uid="{00000000-0005-0000-0000-000054000000}"/>
    <cellStyle name="Heading 2" xfId="39" xr:uid="{00000000-0005-0000-0000-000055000000}"/>
    <cellStyle name="Heading 3" xfId="7" xr:uid="{00000000-0005-0000-0000-000024000000}"/>
    <cellStyle name="Heading 4" xfId="40" xr:uid="{00000000-0005-0000-0000-000056000000}"/>
    <cellStyle name="Input" xfId="6" xr:uid="{00000000-0005-0000-0000-00001C000000}"/>
    <cellStyle name="Linked Cell" xfId="41" xr:uid="{00000000-0005-0000-0000-000057000000}"/>
    <cellStyle name="Neutral" xfId="42" xr:uid="{00000000-0005-0000-0000-000058000000}"/>
    <cellStyle name="Note" xfId="43" xr:uid="{00000000-0005-0000-0000-000059000000}"/>
    <cellStyle name="Output" xfId="44" xr:uid="{00000000-0005-0000-0000-00005A000000}"/>
    <cellStyle name="Title" xfId="46" xr:uid="{00000000-0005-0000-0000-00005C000000}"/>
    <cellStyle name="Total" xfId="47" xr:uid="{00000000-0005-0000-0000-00005D000000}"/>
    <cellStyle name="Warning Text" xfId="48" xr:uid="{00000000-0005-0000-0000-00005E000000}"/>
    <cellStyle name="常规" xfId="0" builtinId="0"/>
    <cellStyle name="常规 10" xfId="36" xr:uid="{00000000-0005-0000-0000-000052000000}"/>
    <cellStyle name="常规 11" xfId="49" xr:uid="{00000000-0005-0000-0000-00005F000000}"/>
    <cellStyle name="常规 2" xfId="45" xr:uid="{00000000-0005-0000-0000-00005B000000}"/>
    <cellStyle name="常规 2 16" xfId="50" xr:uid="{00000000-0005-0000-0000-000060000000}"/>
    <cellStyle name="常规 3" xfId="51" xr:uid="{00000000-0005-0000-0000-000061000000}"/>
    <cellStyle name="常规 3 2" xfId="52" xr:uid="{00000000-0005-0000-0000-000062000000}"/>
    <cellStyle name="常规 4" xfId="53" xr:uid="{00000000-0005-0000-0000-000063000000}"/>
    <cellStyle name="常规 5" xfId="54" xr:uid="{00000000-0005-0000-0000-000064000000}"/>
    <cellStyle name="常规 6" xfId="5" xr:uid="{00000000-0005-0000-0000-00000F000000}"/>
    <cellStyle name="常规 7" xfId="55" xr:uid="{00000000-0005-0000-0000-000065000000}"/>
    <cellStyle name="常规 8" xfId="56" xr:uid="{00000000-0005-0000-0000-000066000000}"/>
    <cellStyle name="常规 9" xfId="57" xr:uid="{00000000-0005-0000-0000-000067000000}"/>
    <cellStyle name="超链接" xfId="3" builtinId="8"/>
    <cellStyle name="超链接 2" xfId="58" xr:uid="{00000000-0005-0000-0000-000068000000}"/>
    <cellStyle name="超链接 3" xfId="59" xr:uid="{00000000-0005-0000-0000-000069000000}"/>
    <cellStyle name="千位分隔[0]" xfId="1" builtinId="6"/>
    <cellStyle name="千位分隔[0] 2" xfId="10" xr:uid="{00000000-0005-0000-0000-00002E000000}"/>
    <cellStyle name="千位分隔[0] 3" xfId="11" xr:uid="{00000000-0005-0000-0000-000030000000}"/>
    <cellStyle name="一般 2" xfId="60" xr:uid="{00000000-0005-0000-0000-00006A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charset val="134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943708</xdr:colOff>
      <xdr:row>2</xdr:row>
      <xdr:rowOff>4358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3610" cy="5181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.NC&#29289;&#26009;&amp;&#35746;&#36141;&#34920;&amp;&#20215;&#30446;&#34920;&#8730;\NC&#29289;&#26009;\NC&#32534;&#30721;&#19982;&#25552;&#20132;\&#32534;&#30721;\MES&#34920;\&#20462;&#39280;&#22522;&#30784;&#34920;-250506.xlsx" TargetMode="External"/><Relationship Id="rId1" Type="http://schemas.openxmlformats.org/officeDocument/2006/relationships/externalLinkPath" Target="/2.NC&#29289;&#26009;&amp;&#35746;&#36141;&#34920;&amp;&#20215;&#30446;&#34920;&#8730;/NC&#29289;&#26009;/NC&#32534;&#30721;&#19982;&#25552;&#20132;/&#32534;&#30721;/MES&#34920;/&#20462;&#39280;&#22522;&#30784;&#34920;-250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_modificationBasisList"/>
    </sheetNames>
    <sheetDataSet>
      <sheetData sheetId="0">
        <row r="1">
          <cell r="D1" t="str">
            <v>mbName</v>
          </cell>
          <cell r="E1" t="str">
            <v>mode</v>
          </cell>
          <cell r="F1" t="str">
            <v>modeBase</v>
          </cell>
        </row>
        <row r="2">
          <cell r="D2" t="str">
            <v>修饰名称</v>
          </cell>
          <cell r="E2" t="str">
            <v>修饰呈现方式</v>
          </cell>
          <cell r="F2" t="str">
            <v>修饰碱基</v>
          </cell>
        </row>
        <row r="3">
          <cell r="D3" t="str">
            <v>3'AF568</v>
          </cell>
          <cell r="E3" t="str">
            <v>/3AF568/</v>
          </cell>
          <cell r="F3" t="str">
            <v/>
          </cell>
        </row>
        <row r="4">
          <cell r="D4" t="str">
            <v>3'AF647</v>
          </cell>
          <cell r="E4" t="str">
            <v>/3AF647/</v>
          </cell>
          <cell r="F4" t="str">
            <v/>
          </cell>
        </row>
        <row r="5">
          <cell r="D5" t="str">
            <v>int-Ferrocene dT</v>
          </cell>
          <cell r="E5" t="str">
            <v>/iMFEdT/</v>
          </cell>
          <cell r="F5" t="str">
            <v>T</v>
          </cell>
        </row>
        <row r="6">
          <cell r="D6" t="str">
            <v>5'BECU_BF650-S</v>
          </cell>
          <cell r="E6" t="str">
            <v>/5BF650-S/</v>
          </cell>
          <cell r="F6" t="str">
            <v/>
          </cell>
        </row>
        <row r="7">
          <cell r="D7" t="str">
            <v>5'VIC-S</v>
          </cell>
          <cell r="E7" t="str">
            <v>/5VIC-S/</v>
          </cell>
          <cell r="F7" t="str">
            <v/>
          </cell>
        </row>
        <row r="8">
          <cell r="D8" t="str">
            <v>int-CY5</v>
          </cell>
          <cell r="E8" t="str">
            <v>/iCY5/</v>
          </cell>
          <cell r="F8" t="str">
            <v/>
          </cell>
        </row>
        <row r="9">
          <cell r="D9" t="str">
            <v>5'BHQ3</v>
          </cell>
          <cell r="E9" t="str">
            <v>/5BHQ3/</v>
          </cell>
          <cell r="F9" t="str">
            <v/>
          </cell>
        </row>
        <row r="10">
          <cell r="D10" t="str">
            <v>int-ROX</v>
          </cell>
          <cell r="E10" t="str">
            <v>/iROX/</v>
          </cell>
          <cell r="F10" t="str">
            <v/>
          </cell>
        </row>
        <row r="11">
          <cell r="D11" t="str">
            <v>int-VIC</v>
          </cell>
          <cell r="E11" t="str">
            <v>/iVIC/</v>
          </cell>
          <cell r="F11" t="str">
            <v/>
          </cell>
        </row>
        <row r="12">
          <cell r="D12" t="str">
            <v>5'BECU_BF620</v>
          </cell>
          <cell r="E12" t="str">
            <v>/5BF620/</v>
          </cell>
          <cell r="F12" t="str">
            <v/>
          </cell>
        </row>
        <row r="13">
          <cell r="D13" t="str">
            <v>int-FS</v>
          </cell>
          <cell r="E13" t="str">
            <v>/FS/</v>
          </cell>
          <cell r="F13" t="str">
            <v>0</v>
          </cell>
        </row>
        <row r="14">
          <cell r="D14" t="str">
            <v>5'MGB</v>
          </cell>
          <cell r="E14" t="str">
            <v>/5MGB/</v>
          </cell>
          <cell r="F14" t="str">
            <v/>
          </cell>
        </row>
        <row r="15">
          <cell r="D15" t="str">
            <v>int-DBCO dT</v>
          </cell>
          <cell r="E15" t="str">
            <v>/iDBCOdT/</v>
          </cell>
          <cell r="F15" t="str">
            <v>T</v>
          </cell>
        </row>
        <row r="16">
          <cell r="D16" t="str">
            <v>int-LDNA-C</v>
          </cell>
          <cell r="E16" t="str">
            <v>/iLDNA-C/</v>
          </cell>
          <cell r="F16" t="str">
            <v>C</v>
          </cell>
        </row>
        <row r="17">
          <cell r="D17" t="str">
            <v>int-LDNA-G</v>
          </cell>
          <cell r="E17" t="str">
            <v>/iLDNA-G/</v>
          </cell>
          <cell r="F17" t="str">
            <v>G</v>
          </cell>
        </row>
        <row r="18">
          <cell r="D18" t="str">
            <v>int-LDNA-T</v>
          </cell>
          <cell r="E18" t="str">
            <v>/iLDNA-T/</v>
          </cell>
          <cell r="F18" t="str">
            <v>T</v>
          </cell>
        </row>
        <row r="19">
          <cell r="D19" t="str">
            <v>int-LDNA-A</v>
          </cell>
          <cell r="E19" t="str">
            <v>/iLDNA-A/</v>
          </cell>
          <cell r="F19" t="str">
            <v>A</v>
          </cell>
        </row>
        <row r="20">
          <cell r="D20" t="str">
            <v>5'BECU_BF680</v>
          </cell>
          <cell r="E20" t="str">
            <v>/5BF680/</v>
          </cell>
          <cell r="F20" t="str">
            <v/>
          </cell>
        </row>
        <row r="21">
          <cell r="D21" t="str">
            <v>int-Azide dT</v>
          </cell>
          <cell r="E21" t="str">
            <v>/iAzidedT/</v>
          </cell>
          <cell r="F21" t="str">
            <v>T</v>
          </cell>
        </row>
        <row r="22">
          <cell r="D22" t="str">
            <v>int-FAM</v>
          </cell>
          <cell r="E22" t="str">
            <v>/i6FAM/</v>
          </cell>
          <cell r="F22" t="str">
            <v/>
          </cell>
        </row>
        <row r="23">
          <cell r="D23" t="str">
            <v>int-Spacer C12</v>
          </cell>
          <cell r="E23" t="str">
            <v>/iSC12/</v>
          </cell>
          <cell r="F23" t="str">
            <v/>
          </cell>
        </row>
        <row r="24">
          <cell r="D24" t="str">
            <v>int-Spacer 9</v>
          </cell>
          <cell r="E24" t="str">
            <v>/iSp9/</v>
          </cell>
          <cell r="F24" t="str">
            <v/>
          </cell>
        </row>
        <row r="25">
          <cell r="D25" t="str">
            <v>int-dSpacer</v>
          </cell>
          <cell r="E25" t="str">
            <v>/idsp/</v>
          </cell>
          <cell r="F25" t="str">
            <v/>
          </cell>
        </row>
        <row r="26">
          <cell r="D26" t="str">
            <v>int-DMT-BHQ1</v>
          </cell>
          <cell r="E26" t="str">
            <v>/iBHQ1/</v>
          </cell>
          <cell r="F26" t="str">
            <v/>
          </cell>
        </row>
        <row r="27">
          <cell r="D27" t="str">
            <v>int-DMT-BHQ2</v>
          </cell>
          <cell r="E27" t="str">
            <v>/iBHQ2/</v>
          </cell>
          <cell r="F27" t="str">
            <v/>
          </cell>
        </row>
        <row r="28">
          <cell r="D28" t="str">
            <v>int-Amino Modifier C12</v>
          </cell>
          <cell r="E28" t="str">
            <v>/iAmMC12/</v>
          </cell>
          <cell r="F28" t="str">
            <v/>
          </cell>
        </row>
        <row r="29">
          <cell r="D29" t="str">
            <v>int-O-C6-NHTFA</v>
          </cell>
          <cell r="E29" t="str">
            <v>/iOC6/</v>
          </cell>
          <cell r="F29" t="str">
            <v/>
          </cell>
        </row>
        <row r="30">
          <cell r="D30" t="str">
            <v>int-MIA2</v>
          </cell>
          <cell r="E30" t="str">
            <v>/iMIA2/</v>
          </cell>
          <cell r="F30" t="str">
            <v/>
          </cell>
        </row>
        <row r="31">
          <cell r="D31" t="str">
            <v>int-FTL</v>
          </cell>
          <cell r="E31" t="str">
            <v>/iFTL/</v>
          </cell>
          <cell r="F31" t="str">
            <v/>
          </cell>
        </row>
        <row r="32">
          <cell r="D32" t="str">
            <v>int-Spacer C6</v>
          </cell>
          <cell r="E32" t="str">
            <v>/iSC6/</v>
          </cell>
          <cell r="F32" t="str">
            <v/>
          </cell>
        </row>
        <row r="33">
          <cell r="D33" t="str">
            <v>int-Thiol Modifier C6-S-S</v>
          </cell>
          <cell r="E33" t="str">
            <v>/iTHS/</v>
          </cell>
          <cell r="F33" t="str">
            <v/>
          </cell>
        </row>
        <row r="34">
          <cell r="D34" t="str">
            <v>int-Alkyne</v>
          </cell>
          <cell r="E34" t="str">
            <v>/iAlkyne/</v>
          </cell>
          <cell r="F34" t="str">
            <v/>
          </cell>
        </row>
        <row r="35">
          <cell r="D35" t="str">
            <v>int-J</v>
          </cell>
          <cell r="E35" t="str">
            <v>/iJ/</v>
          </cell>
          <cell r="F35" t="str">
            <v/>
          </cell>
        </row>
        <row r="36">
          <cell r="D36" t="str">
            <v>int-Spacer 18</v>
          </cell>
          <cell r="E36" t="str">
            <v>/iSp18/</v>
          </cell>
          <cell r="F36" t="str">
            <v/>
          </cell>
        </row>
        <row r="37">
          <cell r="D37" t="str">
            <v>int-Eclipse</v>
          </cell>
          <cell r="E37" t="str">
            <v>/iEclipse/</v>
          </cell>
          <cell r="F37" t="str">
            <v/>
          </cell>
        </row>
        <row r="38">
          <cell r="D38" t="str">
            <v>int-spacer C3</v>
          </cell>
          <cell r="E38" t="str">
            <v>/iSC3/</v>
          </cell>
          <cell r="F38" t="str">
            <v/>
          </cell>
        </row>
        <row r="39">
          <cell r="D39" t="str">
            <v>5'DBCO-TEG</v>
          </cell>
          <cell r="E39" t="str">
            <v>/5DBCO-TEG/</v>
          </cell>
          <cell r="F39" t="str">
            <v/>
          </cell>
        </row>
        <row r="40">
          <cell r="D40" t="str">
            <v>int-Dabcyl dT</v>
          </cell>
          <cell r="E40" t="str">
            <v>/iDABdT/</v>
          </cell>
          <cell r="F40" t="str">
            <v>T</v>
          </cell>
        </row>
        <row r="41">
          <cell r="D41" t="str">
            <v>int-PC Linker</v>
          </cell>
          <cell r="E41" t="str">
            <v>/iPCLink/</v>
          </cell>
          <cell r="F41" t="str">
            <v/>
          </cell>
        </row>
        <row r="42">
          <cell r="D42" t="str">
            <v>5'BF615</v>
          </cell>
          <cell r="E42" t="str">
            <v>/5BF615/</v>
          </cell>
          <cell r="F42" t="str">
            <v/>
          </cell>
        </row>
        <row r="43">
          <cell r="D43" t="str">
            <v>5'BF435</v>
          </cell>
          <cell r="E43" t="str">
            <v>/5BF435/</v>
          </cell>
          <cell r="F43" t="str">
            <v/>
          </cell>
        </row>
        <row r="44">
          <cell r="D44" t="str">
            <v>3'AF750</v>
          </cell>
          <cell r="E44" t="str">
            <v>/3AF750/</v>
          </cell>
          <cell r="F44" t="str">
            <v/>
          </cell>
        </row>
        <row r="45">
          <cell r="D45" t="str">
            <v>3'CHCH</v>
          </cell>
          <cell r="E45" t="str">
            <v>/3CHCH/</v>
          </cell>
          <cell r="F45" t="str">
            <v/>
          </cell>
        </row>
        <row r="46">
          <cell r="D46" t="str">
            <v>3'DBCO</v>
          </cell>
          <cell r="E46" t="str">
            <v>/3DBCO/</v>
          </cell>
          <cell r="F46" t="str">
            <v/>
          </cell>
        </row>
        <row r="47">
          <cell r="D47" t="str">
            <v>int-Acridinium dT</v>
          </cell>
          <cell r="E47" t="str">
            <v>/iAEdT/</v>
          </cell>
          <cell r="F47" t="str">
            <v>T</v>
          </cell>
        </row>
        <row r="48">
          <cell r="D48" t="str">
            <v>5'Acridinium</v>
          </cell>
          <cell r="E48" t="str">
            <v>/5AE/</v>
          </cell>
          <cell r="F48" t="str">
            <v/>
          </cell>
        </row>
        <row r="49">
          <cell r="D49" t="str">
            <v>5'BF493</v>
          </cell>
          <cell r="E49" t="str">
            <v>/5BF493/</v>
          </cell>
          <cell r="F49" t="str">
            <v/>
          </cell>
        </row>
        <row r="50">
          <cell r="D50" t="str">
            <v>3'Super Quencher 0</v>
          </cell>
          <cell r="E50" t="str">
            <v>/3SQ0/</v>
          </cell>
          <cell r="F50" t="str">
            <v/>
          </cell>
        </row>
        <row r="51">
          <cell r="D51" t="str">
            <v>int-CY2 dT</v>
          </cell>
          <cell r="E51" t="str">
            <v>/iCY2dT/</v>
          </cell>
          <cell r="F51" t="str">
            <v>T</v>
          </cell>
        </row>
        <row r="52">
          <cell r="D52" t="str">
            <v>3'ddT</v>
          </cell>
          <cell r="E52" t="str">
            <v>/3ddT/</v>
          </cell>
          <cell r="F52" t="str">
            <v/>
          </cell>
        </row>
        <row r="53">
          <cell r="D53" t="str">
            <v>3'ATTO647N</v>
          </cell>
          <cell r="E53" t="str">
            <v>/3ATTO647N/</v>
          </cell>
          <cell r="F53" t="str">
            <v/>
          </cell>
        </row>
        <row r="54">
          <cell r="D54" t="str">
            <v>int-BF535</v>
          </cell>
          <cell r="E54" t="str">
            <v>/iBF535/</v>
          </cell>
          <cell r="F54" t="str">
            <v/>
          </cell>
        </row>
        <row r="55">
          <cell r="D55" t="str">
            <v>5'CHO</v>
          </cell>
          <cell r="E55" t="str">
            <v>/5CHO/</v>
          </cell>
          <cell r="F55" t="str">
            <v/>
          </cell>
        </row>
        <row r="56">
          <cell r="D56" t="str">
            <v>5'CY3.5</v>
          </cell>
          <cell r="E56" t="str">
            <v>/5CY3.5/</v>
          </cell>
          <cell r="F56" t="str">
            <v/>
          </cell>
        </row>
        <row r="57">
          <cell r="D57" t="str">
            <v>5'BF552</v>
          </cell>
          <cell r="E57" t="str">
            <v>/5BF552/</v>
          </cell>
          <cell r="F57" t="str">
            <v/>
          </cell>
        </row>
        <row r="58">
          <cell r="D58" t="str">
            <v>5'BF582</v>
          </cell>
          <cell r="E58" t="str">
            <v>/5BF582/</v>
          </cell>
          <cell r="F58" t="str">
            <v/>
          </cell>
        </row>
        <row r="59">
          <cell r="D59" t="str">
            <v>5'BF494</v>
          </cell>
          <cell r="E59" t="str">
            <v>/5BF494/</v>
          </cell>
          <cell r="F59" t="str">
            <v/>
          </cell>
        </row>
        <row r="60">
          <cell r="D60" t="str">
            <v>5'CY2</v>
          </cell>
          <cell r="E60" t="str">
            <v>/5CY2/</v>
          </cell>
          <cell r="F60" t="str">
            <v/>
          </cell>
        </row>
        <row r="61">
          <cell r="D61" t="str">
            <v>int-CY3.5 dT</v>
          </cell>
          <cell r="E61" t="str">
            <v>/iCY3.5dT/</v>
          </cell>
          <cell r="F61" t="str">
            <v>T</v>
          </cell>
        </row>
        <row r="62">
          <cell r="D62" t="str">
            <v>5'BF652</v>
          </cell>
          <cell r="E62" t="str">
            <v>/5BF652/</v>
          </cell>
          <cell r="F62" t="str">
            <v/>
          </cell>
        </row>
        <row r="63">
          <cell r="D63" t="str">
            <v>int-OG488 dT</v>
          </cell>
          <cell r="E63" t="str">
            <v>/iOG488dT/</v>
          </cell>
          <cell r="F63" t="str">
            <v>T</v>
          </cell>
        </row>
        <row r="64">
          <cell r="D64" t="str">
            <v>5'BF492</v>
          </cell>
          <cell r="E64" t="str">
            <v>/5BF492/</v>
          </cell>
          <cell r="F64" t="str">
            <v/>
          </cell>
        </row>
        <row r="65">
          <cell r="D65" t="str">
            <v>5'BF672</v>
          </cell>
          <cell r="E65" t="str">
            <v>/5BF672/</v>
          </cell>
          <cell r="F65" t="str">
            <v/>
          </cell>
        </row>
        <row r="66">
          <cell r="D66" t="str">
            <v>5'BF533</v>
          </cell>
          <cell r="E66" t="str">
            <v>/5BF533/</v>
          </cell>
          <cell r="F66" t="str">
            <v/>
          </cell>
        </row>
        <row r="67">
          <cell r="D67" t="str">
            <v>5'BF535</v>
          </cell>
          <cell r="E67" t="str">
            <v>/5BF535/</v>
          </cell>
          <cell r="F67" t="str">
            <v/>
          </cell>
        </row>
        <row r="68">
          <cell r="D68" t="str">
            <v>5'BF500</v>
          </cell>
          <cell r="E68" t="str">
            <v>/5BF500/</v>
          </cell>
          <cell r="F68" t="str">
            <v/>
          </cell>
        </row>
        <row r="69">
          <cell r="D69" t="str">
            <v>5'BF495</v>
          </cell>
          <cell r="E69" t="str">
            <v>/5BF495/</v>
          </cell>
          <cell r="F69" t="str">
            <v/>
          </cell>
        </row>
        <row r="70">
          <cell r="D70" t="str">
            <v>3'ddA</v>
          </cell>
          <cell r="E70" t="str">
            <v>/3ddA/</v>
          </cell>
          <cell r="F70" t="str">
            <v/>
          </cell>
        </row>
        <row r="71">
          <cell r="D71" t="str">
            <v>5'BF647</v>
          </cell>
          <cell r="E71" t="str">
            <v>/5BF647/</v>
          </cell>
          <cell r="F71" t="str">
            <v/>
          </cell>
        </row>
        <row r="72">
          <cell r="D72" t="str">
            <v>5'Quasar 670</v>
          </cell>
          <cell r="E72" t="str">
            <v>/5Q670/</v>
          </cell>
          <cell r="F72" t="str">
            <v/>
          </cell>
        </row>
        <row r="73">
          <cell r="D73" t="str">
            <v>3'Quasar 670</v>
          </cell>
          <cell r="E73" t="str">
            <v>/3Q670/</v>
          </cell>
          <cell r="F73" t="str">
            <v/>
          </cell>
        </row>
        <row r="74">
          <cell r="D74" t="str">
            <v>3'MGB3</v>
          </cell>
          <cell r="E74" t="str">
            <v>/3MGB3/</v>
          </cell>
          <cell r="F74" t="str">
            <v/>
          </cell>
        </row>
        <row r="75">
          <cell r="D75" t="str">
            <v>3'MGB1</v>
          </cell>
          <cell r="E75" t="str">
            <v>/3MGB1/</v>
          </cell>
          <cell r="F75" t="str">
            <v/>
          </cell>
        </row>
        <row r="76">
          <cell r="D76" t="str">
            <v>3'MGB2</v>
          </cell>
          <cell r="E76" t="str">
            <v>/3MGB2/</v>
          </cell>
          <cell r="F76" t="str">
            <v/>
          </cell>
        </row>
        <row r="77">
          <cell r="D77" t="str">
            <v>3'MGBX</v>
          </cell>
          <cell r="E77" t="str">
            <v>/3MGBX/</v>
          </cell>
          <cell r="F77" t="str">
            <v/>
          </cell>
        </row>
        <row r="78">
          <cell r="D78" t="str">
            <v>3'MGB0</v>
          </cell>
          <cell r="E78" t="str">
            <v>/3MGB0/</v>
          </cell>
          <cell r="F78" t="str">
            <v/>
          </cell>
        </row>
        <row r="79">
          <cell r="D79" t="str">
            <v>3'MGBY</v>
          </cell>
          <cell r="E79" t="str">
            <v>/3MGBY/</v>
          </cell>
          <cell r="F79" t="str">
            <v/>
          </cell>
        </row>
        <row r="80">
          <cell r="D80" t="str">
            <v>int-inverted-dT</v>
          </cell>
          <cell r="E80" t="str">
            <v>/iinvdT/</v>
          </cell>
          <cell r="F80" t="str">
            <v>T</v>
          </cell>
        </row>
        <row r="81">
          <cell r="D81" t="str">
            <v>int-inverted-dG</v>
          </cell>
          <cell r="E81" t="str">
            <v>/iinvdG/</v>
          </cell>
          <cell r="F81" t="str">
            <v>G</v>
          </cell>
        </row>
        <row r="82">
          <cell r="D82" t="str">
            <v>3'inverted dG</v>
          </cell>
          <cell r="E82" t="str">
            <v>/3invdG/</v>
          </cell>
          <cell r="F82" t="str">
            <v/>
          </cell>
        </row>
        <row r="83">
          <cell r="D83" t="str">
            <v>5'BF688</v>
          </cell>
          <cell r="E83" t="str">
            <v>/5BF688/</v>
          </cell>
          <cell r="F83" t="str">
            <v/>
          </cell>
        </row>
        <row r="84">
          <cell r="D84" t="str">
            <v>5'BF595</v>
          </cell>
          <cell r="E84" t="str">
            <v>/5BF595/</v>
          </cell>
          <cell r="F84" t="str">
            <v/>
          </cell>
        </row>
        <row r="85">
          <cell r="D85" t="str">
            <v>3'MBP3</v>
          </cell>
          <cell r="E85" t="str">
            <v>/3MBP3/</v>
          </cell>
          <cell r="F85" t="str">
            <v/>
          </cell>
        </row>
        <row r="86">
          <cell r="D86" t="str">
            <v>3'MGBN</v>
          </cell>
          <cell r="E86" t="str">
            <v>/3MGBN/</v>
          </cell>
          <cell r="F86" t="str">
            <v/>
          </cell>
        </row>
        <row r="87">
          <cell r="D87" t="str">
            <v>3'Azide</v>
          </cell>
          <cell r="E87" t="str">
            <v>/3Azide/</v>
          </cell>
          <cell r="F87" t="str">
            <v/>
          </cell>
        </row>
        <row r="88">
          <cell r="D88" t="str">
            <v>int-LNA-N</v>
          </cell>
          <cell r="E88" t="str">
            <v>+N</v>
          </cell>
          <cell r="F88" t="str">
            <v/>
          </cell>
        </row>
        <row r="89">
          <cell r="D89" t="str">
            <v>Inosine</v>
          </cell>
          <cell r="E89" t="str">
            <v>I</v>
          </cell>
          <cell r="F89" t="str">
            <v>I</v>
          </cell>
        </row>
        <row r="90">
          <cell r="D90" t="str">
            <v>3'Quasar 705</v>
          </cell>
          <cell r="E90" t="str">
            <v>/3Q705/</v>
          </cell>
          <cell r="F90" t="str">
            <v/>
          </cell>
        </row>
        <row r="91">
          <cell r="D91" t="str">
            <v>5'Quasar 705</v>
          </cell>
          <cell r="E91" t="str">
            <v>/5Q705/</v>
          </cell>
          <cell r="F91" t="str">
            <v/>
          </cell>
        </row>
        <row r="92">
          <cell r="D92" t="str">
            <v>3'TPA</v>
          </cell>
          <cell r="E92" t="str">
            <v>/3TPA/</v>
          </cell>
          <cell r="F92" t="str">
            <v/>
          </cell>
        </row>
        <row r="93">
          <cell r="D93" t="str">
            <v>3'BECU_BF650</v>
          </cell>
          <cell r="E93" t="str">
            <v>/3BF650/</v>
          </cell>
          <cell r="F93" t="str">
            <v/>
          </cell>
        </row>
        <row r="94">
          <cell r="D94" t="str">
            <v>3'Triple SH</v>
          </cell>
          <cell r="E94" t="str">
            <v>/3Triple SH/</v>
          </cell>
          <cell r="F94" t="str">
            <v/>
          </cell>
        </row>
        <row r="95">
          <cell r="D95" t="str">
            <v>3'ddG</v>
          </cell>
          <cell r="E95" t="str">
            <v>/3ddG/</v>
          </cell>
          <cell r="F95" t="str">
            <v/>
          </cell>
        </row>
        <row r="96">
          <cell r="D96" t="str">
            <v>ARMS-A</v>
          </cell>
          <cell r="E96" t="str">
            <v>/ARMS-A/</v>
          </cell>
          <cell r="F96" t="str">
            <v/>
          </cell>
        </row>
        <row r="97">
          <cell r="D97" t="str">
            <v>ARMS-G</v>
          </cell>
          <cell r="E97" t="str">
            <v>/ARMS-G/</v>
          </cell>
          <cell r="F97" t="str">
            <v/>
          </cell>
        </row>
        <row r="98">
          <cell r="D98" t="str">
            <v>ARMS-C</v>
          </cell>
          <cell r="E98" t="str">
            <v>/ARMS-C/</v>
          </cell>
          <cell r="F98" t="str">
            <v/>
          </cell>
        </row>
        <row r="99">
          <cell r="D99" t="str">
            <v>ARMS-T</v>
          </cell>
          <cell r="E99" t="str">
            <v>/ARMS-T/</v>
          </cell>
          <cell r="F99" t="str">
            <v/>
          </cell>
        </row>
        <row r="100">
          <cell r="D100" t="str">
            <v>5'AS</v>
          </cell>
          <cell r="E100" t="str">
            <v>/5AS/</v>
          </cell>
          <cell r="F100" t="str">
            <v/>
          </cell>
        </row>
        <row r="101">
          <cell r="D101" t="str">
            <v>5'DBCO</v>
          </cell>
          <cell r="E101" t="str">
            <v>/5DBCO/</v>
          </cell>
          <cell r="F101" t="str">
            <v/>
          </cell>
        </row>
        <row r="102">
          <cell r="D102" t="str">
            <v>5'rApp</v>
          </cell>
          <cell r="E102" t="str">
            <v>/5rApp/</v>
          </cell>
          <cell r="F102" t="str">
            <v/>
          </cell>
        </row>
        <row r="103">
          <cell r="D103" t="str">
            <v>5'Ferrocene</v>
          </cell>
          <cell r="E103" t="str">
            <v>/5Ferrocene/</v>
          </cell>
          <cell r="F103" t="str">
            <v/>
          </cell>
        </row>
        <row r="104">
          <cell r="D104" t="str">
            <v>3'TPE</v>
          </cell>
          <cell r="E104" t="str">
            <v>/3TPE/</v>
          </cell>
          <cell r="F104" t="str">
            <v/>
          </cell>
        </row>
        <row r="105">
          <cell r="D105" t="str">
            <v>int-TPE dA</v>
          </cell>
          <cell r="E105" t="str">
            <v>/iTPEdA/</v>
          </cell>
          <cell r="F105" t="str">
            <v>A</v>
          </cell>
        </row>
        <row r="106">
          <cell r="D106" t="str">
            <v>int-TPE dT</v>
          </cell>
          <cell r="E106" t="str">
            <v>/iTPEdT/</v>
          </cell>
          <cell r="F106" t="str">
            <v>T</v>
          </cell>
        </row>
        <row r="107">
          <cell r="D107" t="str">
            <v>5'TPE</v>
          </cell>
          <cell r="E107" t="str">
            <v>/5TPE/</v>
          </cell>
          <cell r="F107" t="str">
            <v/>
          </cell>
        </row>
        <row r="108">
          <cell r="D108" t="str">
            <v>int-Dihydroxy</v>
          </cell>
          <cell r="E108" t="str">
            <v>/iDHO/</v>
          </cell>
          <cell r="F108" t="str">
            <v/>
          </cell>
        </row>
        <row r="109">
          <cell r="D109" t="str">
            <v>int-GNA-dA</v>
          </cell>
          <cell r="E109" t="str">
            <v>/iGNAdA/</v>
          </cell>
          <cell r="F109" t="str">
            <v>A</v>
          </cell>
        </row>
        <row r="110">
          <cell r="D110" t="str">
            <v>int-GNA-rU</v>
          </cell>
          <cell r="E110" t="str">
            <v>/iGNArU/</v>
          </cell>
          <cell r="F110" t="str">
            <v>U</v>
          </cell>
        </row>
        <row r="111">
          <cell r="D111" t="str">
            <v>3'InTag</v>
          </cell>
          <cell r="E111" t="str">
            <v>/3InTag/</v>
          </cell>
          <cell r="F111" t="str">
            <v/>
          </cell>
        </row>
        <row r="112">
          <cell r="D112" t="str">
            <v>int-GNA-dG</v>
          </cell>
          <cell r="E112" t="str">
            <v>/iGNAdG/</v>
          </cell>
          <cell r="F112" t="str">
            <v>G</v>
          </cell>
        </row>
        <row r="113">
          <cell r="D113" t="str">
            <v>int-GNA-dT</v>
          </cell>
          <cell r="E113" t="str">
            <v>/iGNAdT/</v>
          </cell>
          <cell r="F113" t="str">
            <v>T</v>
          </cell>
        </row>
        <row r="114">
          <cell r="D114" t="str">
            <v>int-GNA-dC</v>
          </cell>
          <cell r="E114" t="str">
            <v>/iGNAdC/</v>
          </cell>
          <cell r="F114" t="str">
            <v>C</v>
          </cell>
        </row>
        <row r="115">
          <cell r="D115" t="str">
            <v>5'BF648</v>
          </cell>
          <cell r="E115" t="str">
            <v>/5BF648/</v>
          </cell>
          <cell r="F115" t="str">
            <v/>
          </cell>
        </row>
        <row r="116">
          <cell r="D116" t="str">
            <v>int-AF555 dT</v>
          </cell>
          <cell r="E116" t="str">
            <v>/iAF555dT/</v>
          </cell>
          <cell r="F116" t="str">
            <v>T</v>
          </cell>
        </row>
        <row r="117">
          <cell r="D117" t="str">
            <v>int-BF650 dA</v>
          </cell>
          <cell r="E117" t="str">
            <v>/iBF650dA/</v>
          </cell>
          <cell r="F117" t="str">
            <v>A</v>
          </cell>
        </row>
        <row r="118">
          <cell r="D118" t="str">
            <v>3'RQA</v>
          </cell>
          <cell r="E118" t="str">
            <v>/3RQA/</v>
          </cell>
          <cell r="F118" t="str">
            <v/>
          </cell>
        </row>
        <row r="119">
          <cell r="D119" t="str">
            <v>3'C6-AF546</v>
          </cell>
          <cell r="E119" t="str">
            <v>/3C6-AF546/</v>
          </cell>
          <cell r="F119" t="str">
            <v/>
          </cell>
        </row>
        <row r="120">
          <cell r="D120" t="str">
            <v>3'AF594</v>
          </cell>
          <cell r="E120" t="str">
            <v>/3AF594/</v>
          </cell>
          <cell r="F120" t="str">
            <v/>
          </cell>
        </row>
        <row r="121">
          <cell r="D121" t="str">
            <v>3'AF488</v>
          </cell>
          <cell r="E121" t="str">
            <v>/3AF488/</v>
          </cell>
          <cell r="F121" t="str">
            <v/>
          </cell>
        </row>
        <row r="122">
          <cell r="D122" t="str">
            <v>3'AF546</v>
          </cell>
          <cell r="E122" t="str">
            <v>/3AF546/</v>
          </cell>
          <cell r="F122" t="str">
            <v/>
          </cell>
        </row>
        <row r="123">
          <cell r="D123" t="str">
            <v>int-DIG dT</v>
          </cell>
          <cell r="E123" t="str">
            <v>/iDIGdT/</v>
          </cell>
          <cell r="F123" t="str">
            <v>T</v>
          </cell>
        </row>
        <row r="124">
          <cell r="D124" t="str">
            <v>5'AF555</v>
          </cell>
          <cell r="E124" t="str">
            <v>/5AF555/</v>
          </cell>
          <cell r="F124" t="str">
            <v/>
          </cell>
        </row>
        <row r="125">
          <cell r="D125" t="str">
            <v>int-AF488 dT</v>
          </cell>
          <cell r="E125" t="str">
            <v>/iAF488dT/</v>
          </cell>
          <cell r="F125" t="str">
            <v>T</v>
          </cell>
        </row>
        <row r="126">
          <cell r="D126" t="str">
            <v>3'InTag-FITC</v>
          </cell>
          <cell r="E126" t="str">
            <v>/3InTag-FITC/</v>
          </cell>
          <cell r="F126" t="str">
            <v/>
          </cell>
        </row>
        <row r="127">
          <cell r="D127" t="str">
            <v>3'InTag-FAM</v>
          </cell>
          <cell r="E127" t="str">
            <v>/3InTag-FAM/</v>
          </cell>
          <cell r="F127" t="str">
            <v/>
          </cell>
        </row>
        <row r="128">
          <cell r="D128" t="str">
            <v>3'InTag-ROX</v>
          </cell>
          <cell r="E128" t="str">
            <v>/3InTag-ROX/</v>
          </cell>
          <cell r="F128" t="str">
            <v/>
          </cell>
        </row>
        <row r="129">
          <cell r="D129" t="str">
            <v>3'InTag-VIC</v>
          </cell>
          <cell r="E129" t="str">
            <v>/3InTag-VIC/</v>
          </cell>
          <cell r="F129" t="str">
            <v/>
          </cell>
        </row>
        <row r="130">
          <cell r="D130" t="str">
            <v>3'InTag-CY5</v>
          </cell>
          <cell r="E130" t="str">
            <v>/3InTag-CY5/</v>
          </cell>
          <cell r="F130" t="str">
            <v/>
          </cell>
        </row>
        <row r="131">
          <cell r="D131" t="str">
            <v>int-ROX dT</v>
          </cell>
          <cell r="E131" t="str">
            <v>/iROXdT/</v>
          </cell>
          <cell r="F131" t="str">
            <v>T</v>
          </cell>
        </row>
        <row r="132">
          <cell r="D132" t="str">
            <v>int-VIC dT</v>
          </cell>
          <cell r="E132" t="str">
            <v>/iVICdT/</v>
          </cell>
          <cell r="F132" t="str">
            <v>T</v>
          </cell>
        </row>
        <row r="133">
          <cell r="D133" t="str">
            <v>5'COOH</v>
          </cell>
          <cell r="E133" t="str">
            <v>/5COOH/</v>
          </cell>
          <cell r="F133" t="str">
            <v/>
          </cell>
        </row>
        <row r="134">
          <cell r="D134" t="str">
            <v>3'Ferrocene</v>
          </cell>
          <cell r="E134" t="str">
            <v>/3MFE/</v>
          </cell>
          <cell r="F134" t="str">
            <v/>
          </cell>
        </row>
        <row r="135">
          <cell r="D135" t="str">
            <v>5'Cholesteryl</v>
          </cell>
          <cell r="E135" t="str">
            <v>/5Chol/</v>
          </cell>
          <cell r="F135" t="str">
            <v/>
          </cell>
        </row>
        <row r="136">
          <cell r="D136" t="str">
            <v>3'Cholesteryl</v>
          </cell>
          <cell r="E136" t="str">
            <v>/3Chol/</v>
          </cell>
          <cell r="F136" t="str">
            <v/>
          </cell>
        </row>
        <row r="137">
          <cell r="D137" t="str">
            <v>5'AF594</v>
          </cell>
          <cell r="E137" t="str">
            <v>/5AF594/</v>
          </cell>
          <cell r="F137" t="str">
            <v/>
          </cell>
        </row>
        <row r="138">
          <cell r="D138" t="str">
            <v>3'RQP</v>
          </cell>
          <cell r="E138" t="str">
            <v>/3RQP/</v>
          </cell>
          <cell r="F138" t="str">
            <v/>
          </cell>
        </row>
        <row r="139">
          <cell r="D139" t="str">
            <v>5'BF490</v>
          </cell>
          <cell r="E139" t="str">
            <v>/5BF490/</v>
          </cell>
          <cell r="F139" t="str">
            <v/>
          </cell>
        </row>
        <row r="140">
          <cell r="D140" t="str">
            <v>5'BF590</v>
          </cell>
          <cell r="E140" t="str">
            <v>/5BF590/</v>
          </cell>
          <cell r="F140" t="str">
            <v/>
          </cell>
        </row>
        <row r="141">
          <cell r="D141" t="str">
            <v>int-HEX dT</v>
          </cell>
          <cell r="E141" t="str">
            <v>/iHEXdT/</v>
          </cell>
          <cell r="F141" t="str">
            <v>T</v>
          </cell>
        </row>
        <row r="142">
          <cell r="D142" t="str">
            <v>int-HEX dC</v>
          </cell>
          <cell r="E142" t="str">
            <v>/iHEXdC/</v>
          </cell>
          <cell r="F142" t="str">
            <v>C</v>
          </cell>
        </row>
        <row r="143">
          <cell r="D143" t="str">
            <v>int-FITC dT</v>
          </cell>
          <cell r="E143" t="str">
            <v>/iFITCdT/</v>
          </cell>
          <cell r="F143" t="str">
            <v>T</v>
          </cell>
        </row>
        <row r="144">
          <cell r="D144" t="str">
            <v>3'RQ</v>
          </cell>
          <cell r="E144" t="str">
            <v>/3RQ/</v>
          </cell>
          <cell r="F144" t="str">
            <v/>
          </cell>
        </row>
        <row r="145">
          <cell r="D145" t="str">
            <v>int-BF650 dT</v>
          </cell>
          <cell r="E145" t="str">
            <v>/iBF650dT/</v>
          </cell>
          <cell r="F145" t="str">
            <v>T</v>
          </cell>
        </row>
        <row r="146">
          <cell r="D146" t="str">
            <v>int-Amino Modifier C6 dA</v>
          </cell>
          <cell r="E146" t="str">
            <v>/iAmMC6dA/</v>
          </cell>
          <cell r="F146" t="str">
            <v>A</v>
          </cell>
        </row>
        <row r="147">
          <cell r="D147" t="str">
            <v>int-Amino Modifier C6 dT</v>
          </cell>
          <cell r="E147" t="str">
            <v>/iAmMC6dT/</v>
          </cell>
          <cell r="F147" t="str">
            <v>T</v>
          </cell>
        </row>
        <row r="148">
          <cell r="D148" t="str">
            <v>int-Quasar670 dT</v>
          </cell>
          <cell r="E148" t="str">
            <v>/iQuasar670dT/</v>
          </cell>
          <cell r="F148" t="str">
            <v>T</v>
          </cell>
        </row>
        <row r="149">
          <cell r="D149" t="str">
            <v>5'CHCH</v>
          </cell>
          <cell r="E149" t="str">
            <v>/5CHCH/</v>
          </cell>
          <cell r="F149" t="str">
            <v/>
          </cell>
        </row>
        <row r="150">
          <cell r="D150" t="str">
            <v>3'Alkyne</v>
          </cell>
          <cell r="E150" t="str">
            <v>/3Alkyne/</v>
          </cell>
          <cell r="F150" t="str">
            <v/>
          </cell>
        </row>
        <row r="151">
          <cell r="D151" t="str">
            <v>5'Alkyne</v>
          </cell>
          <cell r="E151" t="str">
            <v>/5Alkyne/</v>
          </cell>
          <cell r="F151" t="str">
            <v/>
          </cell>
        </row>
        <row r="152">
          <cell r="D152" t="str">
            <v>5'ddC</v>
          </cell>
          <cell r="E152" t="str">
            <v>/5ddC/</v>
          </cell>
          <cell r="F152" t="str">
            <v/>
          </cell>
        </row>
        <row r="153">
          <cell r="D153" t="str">
            <v>5'Azide</v>
          </cell>
          <cell r="E153" t="str">
            <v>/5Azide/</v>
          </cell>
          <cell r="F153" t="str">
            <v/>
          </cell>
        </row>
        <row r="154">
          <cell r="D154" t="str">
            <v>5'Triple BIO-1</v>
          </cell>
          <cell r="E154" t="str">
            <v>/5Triple BIO-1/</v>
          </cell>
          <cell r="F154" t="str">
            <v/>
          </cell>
        </row>
        <row r="155">
          <cell r="D155" t="str">
            <v>5'Triple BIO</v>
          </cell>
          <cell r="E155" t="str">
            <v>/5Triple BIO/</v>
          </cell>
          <cell r="F155" t="str">
            <v/>
          </cell>
        </row>
        <row r="156">
          <cell r="D156" t="str">
            <v>int-NC019</v>
          </cell>
          <cell r="E156" t="str">
            <v>/iNC019/</v>
          </cell>
          <cell r="F156" t="str">
            <v/>
          </cell>
        </row>
        <row r="157">
          <cell r="D157" t="str">
            <v>int-NC007</v>
          </cell>
          <cell r="E157" t="str">
            <v>/iNC007/</v>
          </cell>
          <cell r="F157" t="str">
            <v/>
          </cell>
        </row>
        <row r="158">
          <cell r="D158" t="str">
            <v>int-NC006</v>
          </cell>
          <cell r="E158" t="str">
            <v>/iNC006/</v>
          </cell>
          <cell r="F158" t="str">
            <v/>
          </cell>
        </row>
        <row r="159">
          <cell r="D159" t="str">
            <v>int-NC011</v>
          </cell>
          <cell r="E159" t="str">
            <v>/iNC011/</v>
          </cell>
          <cell r="F159" t="str">
            <v/>
          </cell>
        </row>
        <row r="160">
          <cell r="D160" t="str">
            <v>int-NC008</v>
          </cell>
          <cell r="E160" t="str">
            <v>/iNC008/</v>
          </cell>
          <cell r="F160" t="str">
            <v/>
          </cell>
        </row>
        <row r="161">
          <cell r="D161" t="str">
            <v>int-Amino Modifier C6 dC</v>
          </cell>
          <cell r="E161" t="str">
            <v>/iAmMC6dC/</v>
          </cell>
          <cell r="F161" t="str">
            <v>C</v>
          </cell>
        </row>
        <row r="162">
          <cell r="D162" t="str">
            <v>int-CY3 dT</v>
          </cell>
          <cell r="E162" t="str">
            <v>/iCY3dT/</v>
          </cell>
          <cell r="F162" t="str">
            <v>T</v>
          </cell>
        </row>
        <row r="163">
          <cell r="D163" t="str">
            <v>int-N1-Me-rA</v>
          </cell>
          <cell r="E163" t="str">
            <v>/iN1MerA/</v>
          </cell>
          <cell r="F163" t="str">
            <v>A</v>
          </cell>
        </row>
        <row r="164">
          <cell r="D164" t="str">
            <v>int-HMC</v>
          </cell>
          <cell r="E164" t="str">
            <v>/iHMC/</v>
          </cell>
          <cell r="F164" t="str">
            <v>C</v>
          </cell>
        </row>
        <row r="165">
          <cell r="D165" t="str">
            <v>int-RNA-N</v>
          </cell>
          <cell r="E165" t="str">
            <v>rN</v>
          </cell>
          <cell r="F165" t="str">
            <v>N</v>
          </cell>
        </row>
        <row r="166">
          <cell r="D166" t="str">
            <v>int-ATTO425 dT</v>
          </cell>
          <cell r="E166" t="str">
            <v>/i425dT/</v>
          </cell>
          <cell r="F166" t="str">
            <v>T</v>
          </cell>
        </row>
        <row r="167">
          <cell r="D167" t="str">
            <v>int-RNA-U</v>
          </cell>
          <cell r="E167" t="str">
            <v>rU</v>
          </cell>
          <cell r="F167" t="str">
            <v>U</v>
          </cell>
        </row>
        <row r="168">
          <cell r="D168" t="str">
            <v>int-RNA-C</v>
          </cell>
          <cell r="E168" t="str">
            <v>rC</v>
          </cell>
          <cell r="F168" t="str">
            <v>C</v>
          </cell>
        </row>
        <row r="169">
          <cell r="D169" t="str">
            <v>int-RNA-A</v>
          </cell>
          <cell r="E169" t="str">
            <v>rA</v>
          </cell>
          <cell r="F169" t="str">
            <v>A</v>
          </cell>
        </row>
        <row r="170">
          <cell r="D170" t="str">
            <v>int-2F RNA-U</v>
          </cell>
          <cell r="E170" t="str">
            <v>/i2FrU/</v>
          </cell>
          <cell r="F170" t="str">
            <v>U</v>
          </cell>
        </row>
        <row r="171">
          <cell r="D171" t="str">
            <v>int-8-OXO-dG</v>
          </cell>
          <cell r="E171" t="str">
            <v>/i8OXOdG/</v>
          </cell>
          <cell r="F171" t="str">
            <v>G</v>
          </cell>
        </row>
        <row r="172">
          <cell r="D172" t="str">
            <v>int-MOE-C</v>
          </cell>
          <cell r="E172" t="str">
            <v>/i2OMOEC/</v>
          </cell>
          <cell r="F172" t="str">
            <v>C</v>
          </cell>
        </row>
        <row r="173">
          <cell r="D173" t="str">
            <v>int-RNA-G</v>
          </cell>
          <cell r="E173" t="str">
            <v>rG</v>
          </cell>
          <cell r="F173" t="str">
            <v>G</v>
          </cell>
        </row>
        <row r="174">
          <cell r="D174" t="str">
            <v>int-2F RNA-C</v>
          </cell>
          <cell r="E174" t="str">
            <v>/i2FrC/</v>
          </cell>
          <cell r="F174" t="str">
            <v>C</v>
          </cell>
        </row>
        <row r="175">
          <cell r="D175" t="str">
            <v>int-MOE-U</v>
          </cell>
          <cell r="E175" t="str">
            <v>/i2OMOEU/</v>
          </cell>
          <cell r="F175" t="str">
            <v>U</v>
          </cell>
        </row>
        <row r="176">
          <cell r="D176" t="str">
            <v>int-MOE-A</v>
          </cell>
          <cell r="E176" t="str">
            <v>/i2OMOEA/</v>
          </cell>
          <cell r="F176" t="str">
            <v>A</v>
          </cell>
        </row>
        <row r="177">
          <cell r="D177" t="str">
            <v>int-2F-RNA-G</v>
          </cell>
          <cell r="E177" t="str">
            <v>/i2FrG/</v>
          </cell>
          <cell r="F177" t="str">
            <v>G</v>
          </cell>
        </row>
        <row r="178">
          <cell r="D178" t="str">
            <v>Uridine</v>
          </cell>
          <cell r="E178" t="str">
            <v>U</v>
          </cell>
          <cell r="F178" t="str">
            <v>U</v>
          </cell>
        </row>
        <row r="179">
          <cell r="D179" t="str">
            <v>int-iso-dG</v>
          </cell>
          <cell r="E179" t="str">
            <v>/iisodG/</v>
          </cell>
          <cell r="F179" t="str">
            <v>G</v>
          </cell>
        </row>
        <row r="180">
          <cell r="D180" t="str">
            <v>int-N6-Me-dA</v>
          </cell>
          <cell r="E180" t="str">
            <v>/iN6MedA/</v>
          </cell>
          <cell r="F180" t="str">
            <v>A</v>
          </cell>
        </row>
        <row r="181">
          <cell r="D181" t="str">
            <v>int-MOE-G</v>
          </cell>
          <cell r="E181" t="str">
            <v>/i2OMOEG/</v>
          </cell>
          <cell r="F181" t="str">
            <v>G</v>
          </cell>
        </row>
        <row r="182">
          <cell r="D182" t="str">
            <v>int-A-star</v>
          </cell>
          <cell r="E182" t="str">
            <v>/iAstar/</v>
          </cell>
          <cell r="F182" t="str">
            <v>A</v>
          </cell>
        </row>
        <row r="183">
          <cell r="D183" t="str">
            <v>int-UNA-G</v>
          </cell>
          <cell r="E183" t="str">
            <v>/iUNAG/</v>
          </cell>
          <cell r="F183" t="str">
            <v>G</v>
          </cell>
        </row>
        <row r="184">
          <cell r="D184" t="str">
            <v>int-BIO dT</v>
          </cell>
          <cell r="E184" t="str">
            <v>/iBIOdT/</v>
          </cell>
          <cell r="F184" t="str">
            <v>T</v>
          </cell>
        </row>
        <row r="185">
          <cell r="D185" t="str">
            <v>int-NPOM dT</v>
          </cell>
          <cell r="E185" t="str">
            <v>/iNPOMdT/</v>
          </cell>
          <cell r="F185" t="str">
            <v>T</v>
          </cell>
        </row>
        <row r="186">
          <cell r="D186" t="str">
            <v>int-UNA-A</v>
          </cell>
          <cell r="E186" t="str">
            <v>/iUNAA/</v>
          </cell>
          <cell r="F186" t="str">
            <v>A</v>
          </cell>
        </row>
        <row r="187">
          <cell r="D187" t="str">
            <v>int-UNA-C</v>
          </cell>
          <cell r="E187" t="str">
            <v>/iUNAC/</v>
          </cell>
          <cell r="F187" t="str">
            <v>C</v>
          </cell>
        </row>
        <row r="188">
          <cell r="D188" t="str">
            <v>int-LNA-A</v>
          </cell>
          <cell r="E188" t="str">
            <v>+A</v>
          </cell>
          <cell r="F188" t="str">
            <v>A</v>
          </cell>
        </row>
        <row r="189">
          <cell r="D189" t="str">
            <v>int-LNA-G</v>
          </cell>
          <cell r="E189" t="str">
            <v>+G</v>
          </cell>
          <cell r="F189" t="str">
            <v>G</v>
          </cell>
        </row>
        <row r="190">
          <cell r="D190" t="str">
            <v>int-LNA-C</v>
          </cell>
          <cell r="E190" t="str">
            <v>+C</v>
          </cell>
          <cell r="F190" t="str">
            <v>C</v>
          </cell>
        </row>
        <row r="191">
          <cell r="D191" t="str">
            <v>int-LNA-T</v>
          </cell>
          <cell r="E191" t="str">
            <v>+T</v>
          </cell>
          <cell r="F191" t="str">
            <v>T</v>
          </cell>
        </row>
        <row r="192">
          <cell r="D192" t="str">
            <v>int-QNA-G</v>
          </cell>
          <cell r="E192" t="str">
            <v>/iQNAG/</v>
          </cell>
          <cell r="F192" t="str">
            <v>G</v>
          </cell>
        </row>
        <row r="193">
          <cell r="D193" t="str">
            <v>int-QNA-A</v>
          </cell>
          <cell r="E193" t="str">
            <v>/iQNAA/</v>
          </cell>
          <cell r="F193" t="str">
            <v>A</v>
          </cell>
        </row>
        <row r="194">
          <cell r="D194" t="str">
            <v>int-QNA-T</v>
          </cell>
          <cell r="E194" t="str">
            <v>/iQNAT/</v>
          </cell>
          <cell r="F194" t="str">
            <v>T</v>
          </cell>
        </row>
        <row r="195">
          <cell r="D195" t="str">
            <v>int-QNA-C</v>
          </cell>
          <cell r="E195" t="str">
            <v>/iQNAC/</v>
          </cell>
          <cell r="F195" t="str">
            <v>C</v>
          </cell>
        </row>
        <row r="196">
          <cell r="D196" t="str">
            <v>int-JOE dT</v>
          </cell>
          <cell r="E196" t="str">
            <v>/iJOEdT/</v>
          </cell>
          <cell r="F196" t="str">
            <v>T</v>
          </cell>
        </row>
        <row r="197">
          <cell r="D197" t="str">
            <v>int-TAMRA dT</v>
          </cell>
          <cell r="E197" t="str">
            <v>/iTAMdT/</v>
          </cell>
          <cell r="F197" t="str">
            <v>T</v>
          </cell>
        </row>
        <row r="198">
          <cell r="D198" t="str">
            <v>int-2F RNA-A</v>
          </cell>
          <cell r="E198" t="str">
            <v>/i2FrA/</v>
          </cell>
          <cell r="F198" t="str">
            <v>A</v>
          </cell>
        </row>
        <row r="199">
          <cell r="D199" t="str">
            <v>int-2'methoxy U</v>
          </cell>
          <cell r="E199" t="str">
            <v>/i2OMeU/</v>
          </cell>
          <cell r="F199" t="str">
            <v>U</v>
          </cell>
        </row>
        <row r="200">
          <cell r="D200" t="str">
            <v>int-2'methoxy A</v>
          </cell>
          <cell r="E200" t="str">
            <v>/i2OMeA/</v>
          </cell>
          <cell r="F200" t="str">
            <v>A</v>
          </cell>
        </row>
        <row r="201">
          <cell r="D201" t="str">
            <v>int-2'methoxy G</v>
          </cell>
          <cell r="E201" t="str">
            <v>/i2OMeG/</v>
          </cell>
          <cell r="F201" t="str">
            <v>G</v>
          </cell>
        </row>
        <row r="202">
          <cell r="D202" t="str">
            <v>int-5-Methyl dC</v>
          </cell>
          <cell r="E202" t="str">
            <v>/i5MedC/</v>
          </cell>
          <cell r="F202" t="str">
            <v>C</v>
          </cell>
        </row>
        <row r="203">
          <cell r="D203" t="str">
            <v>int-2'methoxy C</v>
          </cell>
          <cell r="E203" t="str">
            <v>/i2OMeC/</v>
          </cell>
          <cell r="F203" t="str">
            <v>C</v>
          </cell>
        </row>
        <row r="204">
          <cell r="D204" t="str">
            <v>int-UNA-U</v>
          </cell>
          <cell r="E204" t="str">
            <v>/iUNAU/</v>
          </cell>
          <cell r="F204" t="str">
            <v>U</v>
          </cell>
        </row>
        <row r="205">
          <cell r="D205" t="str">
            <v>int-Texas Red-X dT</v>
          </cell>
          <cell r="E205" t="str">
            <v>/iTexRddT/</v>
          </cell>
          <cell r="F205" t="str">
            <v>T</v>
          </cell>
        </row>
        <row r="206">
          <cell r="D206" t="str">
            <v>int-5-Me-iso-dC</v>
          </cell>
          <cell r="E206" t="str">
            <v>/i5MeidC/</v>
          </cell>
          <cell r="F206" t="str">
            <v>C</v>
          </cell>
        </row>
        <row r="207">
          <cell r="D207" t="str">
            <v>int-AF546 dT</v>
          </cell>
          <cell r="E207" t="str">
            <v>/iAF546dT/</v>
          </cell>
          <cell r="F207" t="str">
            <v>T</v>
          </cell>
        </row>
        <row r="208">
          <cell r="D208" t="str">
            <v>int-6-FAM dT</v>
          </cell>
          <cell r="E208" t="str">
            <v>/i6FAMdT/</v>
          </cell>
          <cell r="F208" t="str">
            <v>T</v>
          </cell>
        </row>
        <row r="209">
          <cell r="D209" t="str">
            <v>int-6-FAM dC</v>
          </cell>
          <cell r="E209" t="str">
            <v>/i6FAMdC/</v>
          </cell>
          <cell r="F209" t="str">
            <v>C</v>
          </cell>
        </row>
        <row r="210">
          <cell r="D210" t="str">
            <v>int-BHQ1 dT</v>
          </cell>
          <cell r="E210" t="str">
            <v>/iBHQ1dT/</v>
          </cell>
          <cell r="F210" t="str">
            <v>T</v>
          </cell>
        </row>
        <row r="211">
          <cell r="D211" t="str">
            <v>int-BHQ2 dT</v>
          </cell>
          <cell r="E211" t="str">
            <v>/iBHQ2dT/</v>
          </cell>
          <cell r="F211" t="str">
            <v>T</v>
          </cell>
        </row>
        <row r="212">
          <cell r="D212" t="str">
            <v>int-CY5 dT</v>
          </cell>
          <cell r="E212" t="str">
            <v>/iCY5dT/</v>
          </cell>
          <cell r="F212" t="str">
            <v>T</v>
          </cell>
        </row>
        <row r="213">
          <cell r="D213" t="str">
            <v>int-CY5.5 dT</v>
          </cell>
          <cell r="E213" t="str">
            <v>/iCY5.5dT/</v>
          </cell>
          <cell r="F213" t="str">
            <v>T</v>
          </cell>
        </row>
        <row r="214">
          <cell r="D214" t="str">
            <v>int-ATTO647 dT</v>
          </cell>
          <cell r="E214" t="str">
            <v>/iATTO647dT/</v>
          </cell>
          <cell r="F214" t="str">
            <v>T</v>
          </cell>
        </row>
        <row r="215">
          <cell r="D215" t="str">
            <v>int-2'methoxy R</v>
          </cell>
          <cell r="E215" t="str">
            <v>/i2OMeR/</v>
          </cell>
          <cell r="F215" t="str">
            <v>R</v>
          </cell>
        </row>
        <row r="216">
          <cell r="D216" t="str">
            <v>int-ATTO488 dT</v>
          </cell>
          <cell r="E216" t="str">
            <v>/iATTO488dT/</v>
          </cell>
          <cell r="F216" t="str">
            <v>T</v>
          </cell>
        </row>
        <row r="217">
          <cell r="D217" t="str">
            <v>int-C-star</v>
          </cell>
          <cell r="E217" t="str">
            <v>/iCstar/</v>
          </cell>
          <cell r="F217" t="str">
            <v>C</v>
          </cell>
        </row>
        <row r="218">
          <cell r="D218" t="str">
            <v>*</v>
          </cell>
          <cell r="E218" t="str">
            <v>*</v>
          </cell>
          <cell r="F218" t="str">
            <v/>
          </cell>
        </row>
        <row r="219">
          <cell r="D219" t="str">
            <v>3'VIC</v>
          </cell>
          <cell r="E219" t="str">
            <v>/3VIC/</v>
          </cell>
          <cell r="F219" t="str">
            <v/>
          </cell>
        </row>
        <row r="220">
          <cell r="D220" t="str">
            <v>5'Amino Modifier C6</v>
          </cell>
          <cell r="E220" t="str">
            <v>/5AmMC6/</v>
          </cell>
          <cell r="F220" t="str">
            <v/>
          </cell>
        </row>
        <row r="221">
          <cell r="D221" t="str">
            <v>int-NC018</v>
          </cell>
          <cell r="E221" t="str">
            <v>/iNC018/</v>
          </cell>
          <cell r="F221" t="str">
            <v/>
          </cell>
        </row>
        <row r="222">
          <cell r="D222" t="str">
            <v>3'Amino Modifier C6</v>
          </cell>
          <cell r="E222" t="str">
            <v>/3AmMC6/</v>
          </cell>
          <cell r="F222" t="str">
            <v/>
          </cell>
        </row>
        <row r="223">
          <cell r="D223" t="str">
            <v>3'Amino Modifier C7</v>
          </cell>
          <cell r="E223" t="str">
            <v>/3AmMC7/</v>
          </cell>
          <cell r="F223" t="str">
            <v/>
          </cell>
        </row>
        <row r="224">
          <cell r="D224" t="str">
            <v>int-PGO</v>
          </cell>
          <cell r="E224" t="str">
            <v>/iPGO/</v>
          </cell>
          <cell r="F224" t="str">
            <v/>
          </cell>
        </row>
        <row r="225">
          <cell r="D225" t="str">
            <v>int-DQC</v>
          </cell>
          <cell r="E225" t="str">
            <v>/iDQC/</v>
          </cell>
          <cell r="F225" t="str">
            <v/>
          </cell>
        </row>
        <row r="226">
          <cell r="D226" t="str">
            <v>int-DQC2</v>
          </cell>
          <cell r="E226" t="str">
            <v>/iDQC2/</v>
          </cell>
          <cell r="F226" t="str">
            <v/>
          </cell>
        </row>
        <row r="227">
          <cell r="D227" t="str">
            <v>3'TET</v>
          </cell>
          <cell r="E227" t="str">
            <v>/3TET/</v>
          </cell>
          <cell r="F227" t="str">
            <v/>
          </cell>
        </row>
        <row r="228">
          <cell r="D228" t="str">
            <v>5'FITC</v>
          </cell>
          <cell r="E228" t="str">
            <v>/5FITC/</v>
          </cell>
          <cell r="F228" t="str">
            <v/>
          </cell>
        </row>
        <row r="229">
          <cell r="D229" t="str">
            <v>5'Sulfo-CY3</v>
          </cell>
          <cell r="E229" t="str">
            <v>/5Sulfo-CY3/</v>
          </cell>
          <cell r="F229" t="str">
            <v/>
          </cell>
        </row>
        <row r="230">
          <cell r="D230" t="str">
            <v>5'ATTO680</v>
          </cell>
          <cell r="E230" t="str">
            <v>/5ATTO680/</v>
          </cell>
          <cell r="F230" t="str">
            <v/>
          </cell>
        </row>
        <row r="231">
          <cell r="D231" t="str">
            <v>5'ATTO633</v>
          </cell>
          <cell r="E231" t="str">
            <v>/5ATTO633/</v>
          </cell>
          <cell r="F231" t="str">
            <v/>
          </cell>
        </row>
        <row r="232">
          <cell r="D232" t="str">
            <v>5'ATTO390</v>
          </cell>
          <cell r="E232" t="str">
            <v>/5ATTO390/</v>
          </cell>
          <cell r="F232" t="str">
            <v/>
          </cell>
        </row>
        <row r="233">
          <cell r="D233" t="str">
            <v>5'ATTO594</v>
          </cell>
          <cell r="E233" t="str">
            <v>/5ATTO594/</v>
          </cell>
          <cell r="F233" t="str">
            <v/>
          </cell>
        </row>
        <row r="234">
          <cell r="D234" t="str">
            <v>5'ATTO532</v>
          </cell>
          <cell r="E234" t="str">
            <v>/5ATTO532/</v>
          </cell>
          <cell r="F234" t="str">
            <v/>
          </cell>
        </row>
        <row r="235">
          <cell r="D235" t="str">
            <v>5'AF532</v>
          </cell>
          <cell r="E235" t="str">
            <v>/5AF532/</v>
          </cell>
          <cell r="F235" t="str">
            <v/>
          </cell>
        </row>
        <row r="236">
          <cell r="D236" t="str">
            <v>3'ATTO488</v>
          </cell>
          <cell r="E236" t="str">
            <v>/3ATTO488/</v>
          </cell>
          <cell r="F236" t="str">
            <v/>
          </cell>
        </row>
        <row r="237">
          <cell r="D237" t="str">
            <v>5'ATTO488</v>
          </cell>
          <cell r="E237" t="str">
            <v>/5ATTO488/</v>
          </cell>
          <cell r="F237" t="str">
            <v/>
          </cell>
        </row>
        <row r="238">
          <cell r="D238" t="str">
            <v>5'AF488</v>
          </cell>
          <cell r="E238" t="str">
            <v>/5AF488/</v>
          </cell>
          <cell r="F238" t="str">
            <v/>
          </cell>
        </row>
        <row r="239">
          <cell r="D239" t="str">
            <v>3'Super Quencher 3</v>
          </cell>
          <cell r="E239" t="str">
            <v>/3SQ3/</v>
          </cell>
          <cell r="F239" t="str">
            <v/>
          </cell>
        </row>
        <row r="240">
          <cell r="D240" t="str">
            <v>5'Inverted dT</v>
          </cell>
          <cell r="E240" t="str">
            <v>/5InvdT/</v>
          </cell>
          <cell r="F240" t="str">
            <v/>
          </cell>
        </row>
        <row r="241">
          <cell r="D241" t="str">
            <v>5'AF546</v>
          </cell>
          <cell r="E241" t="str">
            <v>/5AF546/</v>
          </cell>
          <cell r="F241" t="str">
            <v/>
          </cell>
        </row>
        <row r="242">
          <cell r="D242" t="str">
            <v>5'HEX-FAM</v>
          </cell>
          <cell r="E242" t="str">
            <v>/5HEXFAM/</v>
          </cell>
          <cell r="F242" t="str">
            <v/>
          </cell>
        </row>
        <row r="243">
          <cell r="D243" t="str">
            <v>5'CFR</v>
          </cell>
          <cell r="E243" t="str">
            <v>/5CFR/</v>
          </cell>
          <cell r="F243" t="str">
            <v/>
          </cell>
        </row>
        <row r="244">
          <cell r="D244" t="str">
            <v>5'AF430</v>
          </cell>
          <cell r="E244" t="str">
            <v>/5AF430/</v>
          </cell>
          <cell r="F244" t="str">
            <v/>
          </cell>
        </row>
        <row r="245">
          <cell r="D245" t="str">
            <v>5'DQC</v>
          </cell>
          <cell r="E245" t="str">
            <v>/5DQC/</v>
          </cell>
          <cell r="F245" t="str">
            <v/>
          </cell>
        </row>
        <row r="246">
          <cell r="D246" t="str">
            <v>5'AF647</v>
          </cell>
          <cell r="E246" t="str">
            <v>/5AF647/</v>
          </cell>
          <cell r="F246" t="str">
            <v/>
          </cell>
        </row>
        <row r="247">
          <cell r="D247" t="str">
            <v>5'CFO</v>
          </cell>
          <cell r="E247" t="str">
            <v>/5CFO/</v>
          </cell>
          <cell r="F247" t="str">
            <v/>
          </cell>
        </row>
        <row r="248">
          <cell r="D248" t="str">
            <v>5'CF405L</v>
          </cell>
          <cell r="E248" t="str">
            <v>/5CF405L/</v>
          </cell>
          <cell r="F248" t="str">
            <v/>
          </cell>
        </row>
        <row r="249">
          <cell r="D249" t="str">
            <v>5'BECU_BF650</v>
          </cell>
          <cell r="E249" t="str">
            <v>/5BF650/</v>
          </cell>
          <cell r="F249" t="str">
            <v/>
          </cell>
        </row>
        <row r="250">
          <cell r="D250" t="str">
            <v>3'Super Quencher 2</v>
          </cell>
          <cell r="E250" t="str">
            <v>/3SQ2/</v>
          </cell>
          <cell r="F250" t="str">
            <v/>
          </cell>
        </row>
        <row r="251">
          <cell r="D251" t="str">
            <v>5'Thiol Modifier C6-S-S</v>
          </cell>
          <cell r="E251" t="str">
            <v>/5THS/</v>
          </cell>
          <cell r="F251" t="str">
            <v/>
          </cell>
        </row>
        <row r="252">
          <cell r="D252" t="str">
            <v>3'GalNAc</v>
          </cell>
          <cell r="E252" t="str">
            <v>/3GalNAc/</v>
          </cell>
          <cell r="F252" t="str">
            <v/>
          </cell>
        </row>
        <row r="253">
          <cell r="D253" t="str">
            <v>int-ZIP</v>
          </cell>
          <cell r="E253" t="str">
            <v>/iZIP/</v>
          </cell>
          <cell r="F253" t="str">
            <v/>
          </cell>
        </row>
        <row r="254">
          <cell r="D254" t="str">
            <v>5'ATTO550</v>
          </cell>
          <cell r="E254" t="str">
            <v>/5ATTO550/</v>
          </cell>
          <cell r="F254" t="str">
            <v/>
          </cell>
        </row>
        <row r="255">
          <cell r="D255" t="str">
            <v>5'AF350</v>
          </cell>
          <cell r="E255" t="str">
            <v>/5AF350/</v>
          </cell>
          <cell r="F255" t="str">
            <v/>
          </cell>
        </row>
        <row r="256">
          <cell r="D256" t="str">
            <v>3'dT</v>
          </cell>
          <cell r="E256" t="str">
            <v>/3dT/</v>
          </cell>
          <cell r="F256" t="str">
            <v/>
          </cell>
        </row>
        <row r="257">
          <cell r="D257" t="str">
            <v>5'dual FAM</v>
          </cell>
          <cell r="E257" t="str">
            <v>/5dFAM/</v>
          </cell>
          <cell r="F257" t="str">
            <v/>
          </cell>
        </row>
        <row r="258">
          <cell r="D258" t="str">
            <v>5'ATTO565</v>
          </cell>
          <cell r="E258" t="str">
            <v>/5ATTO565/</v>
          </cell>
          <cell r="F258" t="str">
            <v/>
          </cell>
        </row>
        <row r="259">
          <cell r="D259" t="str">
            <v>5'AF568</v>
          </cell>
          <cell r="E259" t="str">
            <v>/5AF568/</v>
          </cell>
          <cell r="F259" t="str">
            <v/>
          </cell>
        </row>
        <row r="260">
          <cell r="D260" t="str">
            <v>3'ZIP4</v>
          </cell>
          <cell r="E260" t="str">
            <v>/3ZIP4/</v>
          </cell>
          <cell r="F260" t="str">
            <v/>
          </cell>
        </row>
        <row r="261">
          <cell r="D261" t="str">
            <v>3'IQ4</v>
          </cell>
          <cell r="E261" t="str">
            <v>/3IQ4/</v>
          </cell>
          <cell r="F261" t="str">
            <v/>
          </cell>
        </row>
        <row r="262">
          <cell r="D262" t="str">
            <v>5'CAL Fluor Red 635</v>
          </cell>
          <cell r="E262" t="str">
            <v>/5CAL Fluor Red 635/</v>
          </cell>
          <cell r="F262" t="str">
            <v/>
          </cell>
        </row>
        <row r="263">
          <cell r="D263" t="str">
            <v>5'AIE</v>
          </cell>
          <cell r="E263" t="str">
            <v>/5AIE/</v>
          </cell>
          <cell r="F263" t="str">
            <v/>
          </cell>
        </row>
        <row r="264">
          <cell r="D264" t="str">
            <v>3'C6-DBCO</v>
          </cell>
          <cell r="E264" t="str">
            <v>/3C6-DBCO/</v>
          </cell>
          <cell r="F264" t="str">
            <v/>
          </cell>
        </row>
        <row r="265">
          <cell r="D265" t="str">
            <v>5'ATTO495</v>
          </cell>
          <cell r="E265" t="str">
            <v>/5ATTO495/</v>
          </cell>
          <cell r="F265" t="str">
            <v/>
          </cell>
        </row>
        <row r="266">
          <cell r="D266" t="str">
            <v>5'AF750</v>
          </cell>
          <cell r="E266" t="str">
            <v>/5AF750/</v>
          </cell>
          <cell r="F266" t="str">
            <v/>
          </cell>
        </row>
        <row r="267">
          <cell r="D267" t="str">
            <v>5'ATTO 647N</v>
          </cell>
          <cell r="E267" t="str">
            <v>/5ATTO647N/</v>
          </cell>
          <cell r="F267" t="str">
            <v/>
          </cell>
        </row>
        <row r="268">
          <cell r="D268" t="str">
            <v>5'HEX</v>
          </cell>
          <cell r="E268" t="str">
            <v>/5HEX/</v>
          </cell>
          <cell r="F268" t="str">
            <v/>
          </cell>
        </row>
        <row r="269">
          <cell r="D269" t="str">
            <v>5'6-FAM</v>
          </cell>
          <cell r="E269" t="str">
            <v>/56-FAM/</v>
          </cell>
          <cell r="F269" t="str">
            <v/>
          </cell>
        </row>
        <row r="270">
          <cell r="D270" t="str">
            <v>5'CY7</v>
          </cell>
          <cell r="E270" t="str">
            <v>/5CY7/</v>
          </cell>
          <cell r="F270" t="str">
            <v/>
          </cell>
        </row>
        <row r="271">
          <cell r="D271" t="str">
            <v>5'SPacer 18</v>
          </cell>
          <cell r="E271" t="str">
            <v>/5SP18/</v>
          </cell>
          <cell r="F271" t="str">
            <v/>
          </cell>
        </row>
        <row r="272">
          <cell r="D272" t="str">
            <v>5'Alexa Fluor 405</v>
          </cell>
          <cell r="E272" t="str">
            <v>/5AF405/</v>
          </cell>
          <cell r="F272" t="str">
            <v/>
          </cell>
        </row>
        <row r="273">
          <cell r="D273" t="str">
            <v>5'Acrydite</v>
          </cell>
          <cell r="E273" t="str">
            <v>/5Acrydite/</v>
          </cell>
          <cell r="F273" t="str">
            <v/>
          </cell>
        </row>
        <row r="274">
          <cell r="D274" t="str">
            <v>5' Methylene Blue</v>
          </cell>
          <cell r="E274" t="str">
            <v>/5MBlue/</v>
          </cell>
          <cell r="F274" t="str">
            <v/>
          </cell>
        </row>
        <row r="275">
          <cell r="D275" t="str">
            <v>5'Dual Biotin</v>
          </cell>
          <cell r="E275" t="str">
            <v>/5dBIO/</v>
          </cell>
          <cell r="F275" t="str">
            <v/>
          </cell>
        </row>
        <row r="276">
          <cell r="D276" t="str">
            <v>5'Triple SH</v>
          </cell>
          <cell r="E276" t="str">
            <v>/5Triple SH/</v>
          </cell>
          <cell r="F276" t="str">
            <v/>
          </cell>
        </row>
        <row r="277">
          <cell r="D277" t="str">
            <v>5'BIO-TEG</v>
          </cell>
          <cell r="E277" t="str">
            <v>/5BIO-TEG/</v>
          </cell>
          <cell r="F277" t="str">
            <v/>
          </cell>
        </row>
        <row r="278">
          <cell r="D278" t="str">
            <v>3'HEX</v>
          </cell>
          <cell r="E278" t="str">
            <v>/3HEX/</v>
          </cell>
          <cell r="F278" t="str">
            <v/>
          </cell>
        </row>
        <row r="279">
          <cell r="D279" t="str">
            <v>3'Digoxigenin</v>
          </cell>
          <cell r="E279" t="str">
            <v>/3DIG/</v>
          </cell>
          <cell r="F279" t="str">
            <v/>
          </cell>
        </row>
        <row r="280">
          <cell r="D280" t="str">
            <v>3'CY7</v>
          </cell>
          <cell r="E280" t="str">
            <v>/3CY7/</v>
          </cell>
          <cell r="F280" t="str">
            <v/>
          </cell>
        </row>
        <row r="281">
          <cell r="D281" t="str">
            <v>5'NED</v>
          </cell>
          <cell r="E281" t="str">
            <v>/5NED/</v>
          </cell>
          <cell r="F281" t="str">
            <v/>
          </cell>
        </row>
        <row r="282">
          <cell r="D282" t="str">
            <v>5'VIC</v>
          </cell>
          <cell r="E282" t="str">
            <v>/5VIC/</v>
          </cell>
          <cell r="F282" t="str">
            <v/>
          </cell>
        </row>
        <row r="283">
          <cell r="D283" t="str">
            <v>5'DABCYL</v>
          </cell>
          <cell r="E283" t="str">
            <v>/5DAB/</v>
          </cell>
          <cell r="F283" t="str">
            <v/>
          </cell>
        </row>
        <row r="284">
          <cell r="D284" t="str">
            <v>5'Texas Red-X</v>
          </cell>
          <cell r="E284" t="str">
            <v>/5TexRd-X/</v>
          </cell>
          <cell r="F284" t="str">
            <v/>
          </cell>
        </row>
        <row r="285">
          <cell r="D285" t="str">
            <v>5'Biotin</v>
          </cell>
          <cell r="E285" t="str">
            <v>/5BIO/</v>
          </cell>
          <cell r="F285" t="str">
            <v/>
          </cell>
        </row>
        <row r="286">
          <cell r="D286" t="str">
            <v>5'DIG</v>
          </cell>
          <cell r="E286" t="str">
            <v>/5DIG/</v>
          </cell>
          <cell r="F286" t="str">
            <v/>
          </cell>
        </row>
        <row r="287">
          <cell r="D287" t="str">
            <v>5'Thiol C6</v>
          </cell>
          <cell r="E287" t="str">
            <v>/5THL/</v>
          </cell>
          <cell r="F287" t="str">
            <v/>
          </cell>
        </row>
        <row r="288">
          <cell r="D288" t="str">
            <v>5'TET</v>
          </cell>
          <cell r="E288" t="str">
            <v>/5TET/</v>
          </cell>
          <cell r="F288" t="str">
            <v/>
          </cell>
        </row>
        <row r="289">
          <cell r="D289" t="str">
            <v>5'JOE</v>
          </cell>
          <cell r="E289" t="str">
            <v>/5JOE/</v>
          </cell>
          <cell r="F289" t="str">
            <v/>
          </cell>
        </row>
        <row r="290">
          <cell r="D290" t="str">
            <v>5'AMCA</v>
          </cell>
          <cell r="E290" t="str">
            <v>/5AMCA/</v>
          </cell>
          <cell r="F290" t="str">
            <v/>
          </cell>
        </row>
        <row r="291">
          <cell r="D291" t="str">
            <v>5'CY5.5</v>
          </cell>
          <cell r="E291" t="str">
            <v>/5CY5.5/</v>
          </cell>
          <cell r="F291" t="str">
            <v/>
          </cell>
        </row>
        <row r="292">
          <cell r="D292" t="str">
            <v>5'ATTO425</v>
          </cell>
          <cell r="E292" t="str">
            <v>/5ATTO425/</v>
          </cell>
          <cell r="F292" t="str">
            <v/>
          </cell>
        </row>
        <row r="293">
          <cell r="D293" t="str">
            <v>5'spacer C3</v>
          </cell>
          <cell r="E293" t="str">
            <v>/5SC3/</v>
          </cell>
          <cell r="F293" t="str">
            <v/>
          </cell>
        </row>
        <row r="294">
          <cell r="D294" t="str">
            <v>3'Super Quencher 1</v>
          </cell>
          <cell r="E294" t="str">
            <v>/3SQ1/</v>
          </cell>
          <cell r="F294" t="str">
            <v/>
          </cell>
        </row>
        <row r="295">
          <cell r="D295" t="str">
            <v>3'6-FAM</v>
          </cell>
          <cell r="E295" t="str">
            <v>/36-FAM/</v>
          </cell>
          <cell r="F295" t="str">
            <v/>
          </cell>
        </row>
        <row r="296">
          <cell r="D296" t="str">
            <v>3'TAMRA</v>
          </cell>
          <cell r="E296" t="str">
            <v>/3TAM/</v>
          </cell>
          <cell r="F296" t="str">
            <v/>
          </cell>
        </row>
        <row r="297">
          <cell r="D297" t="str">
            <v>3'ROX</v>
          </cell>
          <cell r="E297" t="str">
            <v>/3ROX/</v>
          </cell>
          <cell r="F297" t="str">
            <v/>
          </cell>
        </row>
        <row r="298">
          <cell r="D298" t="str">
            <v>3'CY5</v>
          </cell>
          <cell r="E298" t="str">
            <v>/3CY5/</v>
          </cell>
          <cell r="F298" t="str">
            <v/>
          </cell>
        </row>
        <row r="299">
          <cell r="D299" t="str">
            <v>3'Thiol Modifier C6-S-S</v>
          </cell>
          <cell r="E299" t="str">
            <v>/3THS/</v>
          </cell>
          <cell r="F299" t="str">
            <v/>
          </cell>
        </row>
        <row r="300">
          <cell r="D300" t="str">
            <v>3'Eclipse</v>
          </cell>
          <cell r="E300" t="str">
            <v>/3ECL/</v>
          </cell>
          <cell r="F300" t="str">
            <v/>
          </cell>
        </row>
        <row r="301">
          <cell r="D301" t="str">
            <v>3'CY5.5</v>
          </cell>
          <cell r="E301" t="str">
            <v>/3CY5.5/</v>
          </cell>
          <cell r="F301" t="str">
            <v/>
          </cell>
        </row>
        <row r="302">
          <cell r="D302" t="str">
            <v>3'ATTO425</v>
          </cell>
          <cell r="E302" t="str">
            <v>/3ATTO425/</v>
          </cell>
          <cell r="F302" t="str">
            <v/>
          </cell>
        </row>
        <row r="303">
          <cell r="D303" t="str">
            <v>5'BHQ2</v>
          </cell>
          <cell r="E303" t="str">
            <v>/5BHQ2/</v>
          </cell>
          <cell r="F303" t="str">
            <v/>
          </cell>
        </row>
        <row r="304">
          <cell r="D304" t="str">
            <v>3'MGB</v>
          </cell>
          <cell r="E304" t="str">
            <v>/3MGB/</v>
          </cell>
          <cell r="F304" t="str">
            <v/>
          </cell>
        </row>
        <row r="305">
          <cell r="D305" t="str">
            <v>3'Super Quencher-X</v>
          </cell>
          <cell r="E305" t="str">
            <v>/3SQ-X/</v>
          </cell>
          <cell r="F305" t="str">
            <v/>
          </cell>
        </row>
        <row r="306">
          <cell r="D306" t="str">
            <v>3'spacer C3</v>
          </cell>
          <cell r="E306" t="str">
            <v>/3SC3/</v>
          </cell>
          <cell r="F306" t="str">
            <v/>
          </cell>
        </row>
        <row r="307">
          <cell r="D307" t="str">
            <v>3'Spacer C6</v>
          </cell>
          <cell r="E307" t="str">
            <v>/3SC6/</v>
          </cell>
          <cell r="F307" t="str">
            <v/>
          </cell>
        </row>
        <row r="308">
          <cell r="D308" t="str">
            <v>3'Spacer 18</v>
          </cell>
          <cell r="E308" t="str">
            <v>/3SP18/</v>
          </cell>
          <cell r="F308" t="str">
            <v/>
          </cell>
        </row>
        <row r="309">
          <cell r="D309" t="str">
            <v>3'DABCYL</v>
          </cell>
          <cell r="E309" t="str">
            <v>/3DAB/</v>
          </cell>
          <cell r="F309" t="str">
            <v/>
          </cell>
        </row>
        <row r="310">
          <cell r="D310" t="str">
            <v>3'CY3</v>
          </cell>
          <cell r="E310" t="str">
            <v>/3CY3/</v>
          </cell>
          <cell r="F310" t="str">
            <v/>
          </cell>
        </row>
        <row r="311">
          <cell r="D311" t="str">
            <v>3'Thiol C6</v>
          </cell>
          <cell r="E311" t="str">
            <v>/3THL/</v>
          </cell>
          <cell r="F311" t="str">
            <v/>
          </cell>
        </row>
        <row r="312">
          <cell r="D312" t="str">
            <v>3'Phosphate</v>
          </cell>
          <cell r="E312" t="str">
            <v>/3PHO/</v>
          </cell>
          <cell r="F312" t="str">
            <v/>
          </cell>
        </row>
        <row r="313">
          <cell r="D313" t="str">
            <v>3'Eclipse</v>
          </cell>
          <cell r="E313" t="str">
            <v>/3Eclipse/</v>
          </cell>
          <cell r="F313" t="str">
            <v/>
          </cell>
        </row>
        <row r="314">
          <cell r="D314" t="str">
            <v>3'Texas Red-X</v>
          </cell>
          <cell r="E314" t="str">
            <v>/3TexRd-X/</v>
          </cell>
          <cell r="F314" t="str">
            <v/>
          </cell>
        </row>
        <row r="315">
          <cell r="D315" t="str">
            <v>3'BBQ650</v>
          </cell>
          <cell r="E315" t="str">
            <v>/3BBQ650/</v>
          </cell>
          <cell r="F315" t="str">
            <v/>
          </cell>
        </row>
        <row r="316">
          <cell r="D316" t="str">
            <v>5'BHQ1</v>
          </cell>
          <cell r="E316" t="str">
            <v>/5BHQ1/</v>
          </cell>
          <cell r="F316" t="str">
            <v/>
          </cell>
        </row>
        <row r="317">
          <cell r="D317" t="str">
            <v>5'TAMRA</v>
          </cell>
          <cell r="E317" t="str">
            <v>/5TAM/</v>
          </cell>
          <cell r="F317" t="str">
            <v/>
          </cell>
        </row>
        <row r="318">
          <cell r="D318" t="str">
            <v>3'DQC</v>
          </cell>
          <cell r="E318" t="str">
            <v>/3DQC/</v>
          </cell>
          <cell r="F318" t="str">
            <v/>
          </cell>
        </row>
        <row r="319">
          <cell r="D319" t="str">
            <v>3'Biotin</v>
          </cell>
          <cell r="E319" t="str">
            <v>/3BIO/</v>
          </cell>
          <cell r="F319" t="str">
            <v/>
          </cell>
        </row>
        <row r="320">
          <cell r="D320" t="str">
            <v>3'ddC</v>
          </cell>
          <cell r="E320" t="str">
            <v>/3ddC/</v>
          </cell>
          <cell r="F320" t="str">
            <v/>
          </cell>
        </row>
        <row r="321">
          <cell r="D321" t="str">
            <v>3'Inverted dT</v>
          </cell>
          <cell r="E321" t="str">
            <v>/3InvdT/</v>
          </cell>
          <cell r="F321" t="str">
            <v/>
          </cell>
        </row>
        <row r="322">
          <cell r="D322" t="str">
            <v>3'FITC</v>
          </cell>
          <cell r="E322" t="str">
            <v>/3FITC/</v>
          </cell>
          <cell r="F322" t="str">
            <v/>
          </cell>
        </row>
        <row r="323">
          <cell r="D323" t="str">
            <v>3'Cholesteryl-TEG</v>
          </cell>
          <cell r="E323" t="str">
            <v>/3Chol-TEG/</v>
          </cell>
          <cell r="F323" t="str">
            <v/>
          </cell>
        </row>
        <row r="324">
          <cell r="D324" t="str">
            <v>5'Amino Modifier C12</v>
          </cell>
          <cell r="E324" t="str">
            <v>/5AmMC12/</v>
          </cell>
          <cell r="F324" t="str">
            <v/>
          </cell>
        </row>
        <row r="325">
          <cell r="D325" t="str">
            <v>5'CY5</v>
          </cell>
          <cell r="E325" t="str">
            <v>/5CY5/</v>
          </cell>
          <cell r="F325" t="str">
            <v/>
          </cell>
        </row>
        <row r="326">
          <cell r="D326" t="str">
            <v>5'CY3</v>
          </cell>
          <cell r="E326" t="str">
            <v>/5CY3/</v>
          </cell>
          <cell r="F326" t="str">
            <v/>
          </cell>
        </row>
        <row r="327">
          <cell r="D327" t="str">
            <v>5'ROX</v>
          </cell>
          <cell r="E327" t="str">
            <v>/5ROX/</v>
          </cell>
          <cell r="F327" t="str">
            <v/>
          </cell>
        </row>
        <row r="328">
          <cell r="D328" t="str">
            <v>5'TMT</v>
          </cell>
          <cell r="E328" t="str">
            <v>/5TMT/</v>
          </cell>
          <cell r="F328" t="str">
            <v/>
          </cell>
        </row>
        <row r="329">
          <cell r="D329" t="str">
            <v>5'Phosphate</v>
          </cell>
          <cell r="E329" t="str">
            <v>/5PHO/</v>
          </cell>
          <cell r="F329" t="str">
            <v/>
          </cell>
        </row>
        <row r="330">
          <cell r="D330" t="str">
            <v>5'Dylight755</v>
          </cell>
          <cell r="E330" t="str">
            <v>/5DY755/</v>
          </cell>
          <cell r="F330" t="str">
            <v/>
          </cell>
        </row>
        <row r="331">
          <cell r="D331" t="str">
            <v>3'DQC2</v>
          </cell>
          <cell r="E331" t="str">
            <v>/3DQC2/</v>
          </cell>
          <cell r="F331" t="str">
            <v/>
          </cell>
        </row>
        <row r="332">
          <cell r="D332" t="str">
            <v>3'AMCA</v>
          </cell>
          <cell r="E332" t="str">
            <v>/3AMCA/</v>
          </cell>
          <cell r="F332" t="str">
            <v/>
          </cell>
        </row>
        <row r="333">
          <cell r="D333" t="str">
            <v>3' Methylene Blue</v>
          </cell>
          <cell r="E333" t="str">
            <v>/3MBlue/</v>
          </cell>
          <cell r="F333" t="str">
            <v/>
          </cell>
        </row>
        <row r="334">
          <cell r="D334" t="str">
            <v>3'BHQ-X</v>
          </cell>
          <cell r="E334" t="str">
            <v>/3BHQ-X/</v>
          </cell>
          <cell r="F334" t="str">
            <v/>
          </cell>
        </row>
        <row r="335">
          <cell r="D335" t="str">
            <v>int-FSJ</v>
          </cell>
          <cell r="E335" t="str">
            <v>/iFSJ/</v>
          </cell>
          <cell r="F335" t="str">
            <v/>
          </cell>
        </row>
        <row r="336">
          <cell r="D336" t="str">
            <v>3'BHQ0</v>
          </cell>
          <cell r="E336" t="str">
            <v>/3BHQ0/</v>
          </cell>
          <cell r="F336" t="str">
            <v/>
          </cell>
        </row>
        <row r="337">
          <cell r="D337" t="str">
            <v>3'BHQ1</v>
          </cell>
          <cell r="E337" t="str">
            <v>/3BHQ1/</v>
          </cell>
          <cell r="F337" t="str">
            <v/>
          </cell>
        </row>
        <row r="338">
          <cell r="D338" t="str">
            <v>3'BHQ2</v>
          </cell>
          <cell r="E338" t="str">
            <v>/3BHQ2/</v>
          </cell>
          <cell r="F338" t="str">
            <v/>
          </cell>
        </row>
        <row r="339">
          <cell r="D339" t="str">
            <v>3'BHQ3</v>
          </cell>
          <cell r="E339" t="str">
            <v>/3BHQ3/</v>
          </cell>
          <cell r="F339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LG" id="{5C3FF5BF-DC4F-4753-B825-DB6E80A6BAD8}" userId="BLG" providerId="None"/>
  <person displayName="Eric" id="{3D606924-F98E-4D25-8204-F25E037F2817}" userId="Eric" providerId="None"/>
  <person displayName="admin" id="{7ED4AB5E-8E8D-4E1E-9483-2045C36E5906}" userId="admin" providerId="None"/>
  <person displayName="min.su" id="{C6A139DA-5083-42A6-897C-A2091A766A90}" userId="min.su" providerId="None"/>
  <person displayName="Roberts" id="{1A212F04-ADC5-4A2F-BE56-E0EA6F8B2B99}" userId="Roberts" providerId="Non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personId="{3D606924-F98E-4D25-8204-F25E037F2817}" id="{2405EC99-8C6B-4E5F-B5E3-B105D7F39D69}">
    <text>请选用下拉菜单中订单类别</text>
  </threadedComment>
  <threadedComment ref="B12" personId="{3D606924-F98E-4D25-8204-F25E037F2817}" id="{AEC12CA6-977A-454B-82F8-48BD1E36DE15}">
    <text>请选用下拉菜单中交付形式</text>
  </threadedComment>
  <threadedComment ref="B17" personId="{3D606924-F98E-4D25-8204-F25E037F2817}" id="{56B62DAA-744A-446C-A5C6-3BC6B6DE8999}">
    <text>请选用下拉菜单中发票类型</text>
  </threadedComment>
  <threadedComment ref="F18" personId="{5C3FF5BF-DC4F-4753-B825-DB6E80A6BAD8}" id="{07EA405E-AF89-4B34-968B-E4ACB2EF6941}">
    <text/>
  </threadedComment>
  <threadedComment ref="G18" personId="{5C3FF5BF-DC4F-4753-B825-DB6E80A6BAD8}" id="{DA23FB75-E964-45EA-B5B2-F4F1FF236152}">
    <text>请勿修改公式</text>
  </threadedComment>
  <threadedComment ref="I18" personId="{5C3FF5BF-DC4F-4753-B825-DB6E80A6BAD8}" id="{3600AC4C-45CB-462E-B546-AF9289F4C335}">
    <text>请勿修改公式</text>
  </threadedComment>
  <threadedComment ref="B19" personId="{1A212F04-ADC5-4A2F-BE56-E0EA6F8B2B99}" id="{806202FA-8B7D-43BF-9A40-29BDD4D234D6}">
    <text>仅限在我司保密邮箱或系统中备注有固定信息的客户填写！</text>
  </threadedComment>
  <threadedComment ref="E19" personId="{3D606924-F98E-4D25-8204-F25E037F2817}" id="{60B4709F-079A-437E-A86B-D78F27DB2B83}">
    <text>请选用下拉菜单中的纯化方式</text>
  </threadedComment>
  <threadedComment ref="F19" personId="{C6A139DA-5083-42A6-897C-A2091A766A90}" id="{B2ABF469-B823-4066-B339-852723874854}">
    <text xml:space="preserve">请选用下拉菜单中修饰代号
</text>
  </threadedComment>
  <threadedComment ref="G19" personId="{C6A139DA-5083-42A6-897C-A2091A766A90}" id="{DBE3E5F2-08DD-4505-968E-ED9E8D7E6F47}">
    <text>请选用下拉菜单中修饰代号</text>
  </threadedComment>
  <threadedComment ref="K19" personId="{3D606924-F98E-4D25-8204-F25E037F2817}" id="{CFFF9C10-2EBE-4A12-9B95-6B7179DD05D0}">
    <text>请选用下拉菜单中标签类型：
引物建议用透明标签；
探针建议用白色标签</text>
  </threadedComment>
  <threadedComment ref="L19" personId="{3D606924-F98E-4D25-8204-F25E037F2817}" id="{5665E767-3EC5-43D6-A81A-9626451C89BE}">
    <text>请选用下拉菜单中离心管类型：小于等于20 0D建议装1.5/2ml管子；
20-50 0D建议装5ml管；
大于等于50 OD建议装50ML管。</text>
  </threadedComment>
  <threadedComment ref="M19" personId="{3D606924-F98E-4D25-8204-F25E037F2817}" id="{9BE71F41-FE6A-4618-8EC1-B90FE8C22229}">
    <text>液体交付，请选用下拉菜单中溶解体系及溶解浓度。干粉交付不用填写</text>
  </threadedComment>
  <threadedComment ref="N19" personId="{3D606924-F98E-4D25-8204-F25E037F2817}" id="{A217EB10-F53C-4ADE-A439-361F9E62714E}">
    <text>请选用下拉菜单中检验报告类型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6" personId="{7ED4AB5E-8E8D-4E1E-9483-2045C36E5906}" id="{0ACCDAEF-77FF-4C79-8A20-5D052FAA4E68}">
    <text xml:space="preserve">仅限在我司保密邮箱或系统中备注有固定信息的客户填写！
</text>
  </threadedComment>
  <threadedComment ref="E16" personId="{7ED4AB5E-8E8D-4E1E-9483-2045C36E5906}" id="{C1F7A6C8-7914-466C-AAB9-25027775E447}">
    <text xml:space="preserve">请选用下拉菜单中修饰代号
</text>
  </threadedComment>
  <threadedComment ref="F16" personId="{7ED4AB5E-8E8D-4E1E-9483-2045C36E5906}" id="{B7CF2F43-7650-4A5B-A2AE-27E638D0C8F4}">
    <text xml:space="preserve">请选用下拉菜单中修饰代号
</text>
  </threadedComment>
  <threadedComment ref="A26" personId="{7ED4AB5E-8E8D-4E1E-9483-2045C36E5906}" id="{3F26474D-16AC-4C87-8183-84D2BC66B5C2}">
    <text xml:space="preserve">仅限在我司保密邮箱或系统中备注有固定信息的客户填写！
</text>
  </threadedComment>
  <threadedComment ref="E26" personId="{7ED4AB5E-8E8D-4E1E-9483-2045C36E5906}" id="{014FFB8B-2F6D-4C25-8A88-CD838CAD4B3E}">
    <text xml:space="preserve">请选用下拉菜单中修饰代号
</text>
  </threadedComment>
  <threadedComment ref="F26" personId="{7ED4AB5E-8E8D-4E1E-9483-2045C36E5906}" id="{337FEB40-CB39-49DF-8DF9-9E43667AA745}">
    <text xml:space="preserve">请选用下拉菜单中修饰代号
</text>
  </threadedComment>
  <threadedComment ref="A36" personId="{7ED4AB5E-8E8D-4E1E-9483-2045C36E5906}" id="{EE5263E3-33A7-458A-9672-24F1E85F8C1E}">
    <text xml:space="preserve">仅限在我司保密邮箱或系统中备注有固定信息的客户填写！
</text>
  </threadedComment>
  <threadedComment ref="E36" personId="{7ED4AB5E-8E8D-4E1E-9483-2045C36E5906}" id="{ADEF7E1D-E745-43F2-91B9-8ECF743B602A}">
    <text xml:space="preserve">请选用下拉菜单中修饰代号
</text>
  </threadedComment>
  <threadedComment ref="F36" personId="{7ED4AB5E-8E8D-4E1E-9483-2045C36E5906}" id="{DAD81D54-1A2A-4C0C-9179-3245B5C093C6}">
    <text xml:space="preserve">请选用下拉菜单中修饰代号
</text>
  </threadedComment>
  <threadedComment ref="A46" personId="{7ED4AB5E-8E8D-4E1E-9483-2045C36E5906}" id="{49F20490-7631-45ED-9046-6BAF35CD664C}">
    <text xml:space="preserve">仅限在我司保密邮箱或系统中备注有固定信息的客户填写！
</text>
  </threadedComment>
  <threadedComment ref="E46" personId="{7ED4AB5E-8E8D-4E1E-9483-2045C36E5906}" id="{8787DF75-ECFF-43E2-8D06-B3699E0D52DC}">
    <text xml:space="preserve">请选用下拉菜单中修饰代号
</text>
  </threadedComment>
  <threadedComment ref="F46" personId="{7ED4AB5E-8E8D-4E1E-9483-2045C36E5906}" id="{870031D7-2EA4-42FC-B7BA-41DE96A06EF7}">
    <text xml:space="preserve">请选用下拉菜单中修饰代号
</text>
  </threadedComment>
  <threadedComment ref="A57" personId="{7ED4AB5E-8E8D-4E1E-9483-2045C36E5906}" id="{05D1000D-65C6-4693-ADD4-25832720BCD2}">
    <text xml:space="preserve">仅限在我司保密邮箱或系统中备注有固定信息的客户填写！
</text>
  </threadedComment>
  <threadedComment ref="E57" personId="{7ED4AB5E-8E8D-4E1E-9483-2045C36E5906}" id="{9FF91FB3-F2AD-4FE4-BC05-91FC68F34E6F}">
    <text xml:space="preserve">请选用下拉菜单中修饰代号
</text>
  </threadedComment>
  <threadedComment ref="F57" personId="{7ED4AB5E-8E8D-4E1E-9483-2045C36E5906}" id="{34A90F52-3A2D-4540-9B4B-B5F9134796C7}">
    <text xml:space="preserve">请选用下拉菜单中修饰代号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bioligo.cn/" TargetMode="External"/><Relationship Id="rId1" Type="http://schemas.openxmlformats.org/officeDocument/2006/relationships/hyperlink" Target="http://www.bioligo.cn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00"/>
  <sheetViews>
    <sheetView showZeros="0" tabSelected="1" zoomScale="85" zoomScaleNormal="85" workbookViewId="0">
      <pane xSplit="1" ySplit="7" topLeftCell="B8" activePane="bottomRight" state="frozenSplit"/>
      <selection pane="topRight"/>
      <selection pane="bottomLeft"/>
      <selection pane="bottomRight" activeCell="B12" sqref="B12:E12"/>
    </sheetView>
  </sheetViews>
  <sheetFormatPr defaultColWidth="9" defaultRowHeight="19.8" x14ac:dyDescent="0.25"/>
  <cols>
    <col min="1" max="1" width="13" style="107" customWidth="1"/>
    <col min="2" max="2" width="13.3984375" style="107" customWidth="1"/>
    <col min="3" max="3" width="11.19921875" style="107" customWidth="1"/>
    <col min="4" max="4" width="33.19921875" style="107" customWidth="1"/>
    <col min="5" max="5" width="9.5" style="107" customWidth="1"/>
    <col min="6" max="6" width="10.5" style="107" customWidth="1"/>
    <col min="7" max="7" width="10" style="107" customWidth="1"/>
    <col min="8" max="8" width="10.69921875" style="107" customWidth="1"/>
    <col min="9" max="9" width="11.09765625" style="123" customWidth="1"/>
    <col min="10" max="12" width="10.5" style="123" customWidth="1"/>
    <col min="13" max="13" width="11.5" style="123" customWidth="1"/>
    <col min="14" max="14" width="11.09765625" style="123" customWidth="1"/>
    <col min="15" max="15" width="10.09765625" style="107" customWidth="1"/>
    <col min="16" max="16" width="8.8984375" style="107" customWidth="1"/>
    <col min="17" max="17" width="9.3984375" style="106" bestFit="1" customWidth="1"/>
    <col min="18" max="23" width="8.8984375" style="107" customWidth="1"/>
    <col min="24" max="249" width="8.8984375" style="19" customWidth="1"/>
    <col min="250" max="16384" width="9" style="19"/>
  </cols>
  <sheetData>
    <row r="1" spans="1:16" x14ac:dyDescent="0.25">
      <c r="A1" s="171"/>
      <c r="B1" s="174" t="s">
        <v>686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5"/>
    </row>
    <row r="2" spans="1:16" x14ac:dyDescent="0.25">
      <c r="A2" s="172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7"/>
    </row>
    <row r="3" spans="1:16" x14ac:dyDescent="0.25">
      <c r="A3" s="173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9"/>
    </row>
    <row r="4" spans="1:16" x14ac:dyDescent="0.25">
      <c r="A4" s="127" t="s">
        <v>369</v>
      </c>
      <c r="B4" s="200"/>
      <c r="C4" s="200"/>
      <c r="D4" s="200"/>
      <c r="E4" s="200"/>
      <c r="F4" s="160" t="s">
        <v>370</v>
      </c>
      <c r="G4" s="161"/>
      <c r="H4" s="161"/>
      <c r="I4" s="161"/>
      <c r="J4" s="161"/>
      <c r="K4" s="161"/>
      <c r="L4" s="161"/>
      <c r="M4" s="161"/>
      <c r="N4" s="161"/>
      <c r="O4" s="161"/>
      <c r="P4" s="162"/>
    </row>
    <row r="5" spans="1:16" x14ac:dyDescent="0.25">
      <c r="A5" s="128" t="s">
        <v>673</v>
      </c>
      <c r="B5" s="163"/>
      <c r="C5" s="163"/>
      <c r="D5" s="163"/>
      <c r="E5" s="164"/>
      <c r="F5" s="165" t="s">
        <v>371</v>
      </c>
      <c r="G5" s="166"/>
      <c r="H5" s="166"/>
      <c r="I5" s="166"/>
      <c r="J5" s="166"/>
      <c r="K5" s="166"/>
      <c r="L5" s="166"/>
      <c r="M5" s="166"/>
      <c r="N5" s="166"/>
      <c r="O5" s="166"/>
      <c r="P5" s="167"/>
    </row>
    <row r="6" spans="1:16" x14ac:dyDescent="0.25">
      <c r="A6" s="128" t="s">
        <v>674</v>
      </c>
      <c r="B6" s="168"/>
      <c r="C6" s="168"/>
      <c r="D6" s="168"/>
      <c r="E6" s="169"/>
      <c r="F6" s="165" t="s">
        <v>687</v>
      </c>
      <c r="G6" s="166"/>
      <c r="H6" s="166"/>
      <c r="I6" s="166"/>
      <c r="J6" s="166"/>
      <c r="K6" s="166"/>
      <c r="L6" s="166"/>
      <c r="M6" s="166"/>
      <c r="N6" s="166"/>
      <c r="O6" s="166"/>
      <c r="P6" s="167"/>
    </row>
    <row r="7" spans="1:16" x14ac:dyDescent="0.25">
      <c r="A7" s="128" t="s">
        <v>675</v>
      </c>
      <c r="B7" s="185"/>
      <c r="C7" s="185"/>
      <c r="D7" s="185"/>
      <c r="E7" s="186"/>
      <c r="F7" s="187" t="s">
        <v>688</v>
      </c>
      <c r="G7" s="188"/>
      <c r="H7" s="188"/>
      <c r="I7" s="188"/>
      <c r="J7" s="188"/>
      <c r="K7" s="188"/>
      <c r="L7" s="188"/>
      <c r="M7" s="188"/>
      <c r="N7" s="188"/>
      <c r="O7" s="188"/>
      <c r="P7" s="189"/>
    </row>
    <row r="8" spans="1:16" x14ac:dyDescent="0.25">
      <c r="A8" s="129" t="s">
        <v>676</v>
      </c>
      <c r="B8" s="190" t="s">
        <v>0</v>
      </c>
      <c r="C8" s="190"/>
      <c r="D8" s="190"/>
      <c r="E8" s="190"/>
      <c r="F8" s="196" t="s">
        <v>372</v>
      </c>
      <c r="G8" s="197"/>
      <c r="H8" s="197"/>
      <c r="I8" s="197"/>
      <c r="J8" s="197"/>
      <c r="K8" s="197"/>
      <c r="L8" s="197"/>
      <c r="M8" s="197"/>
      <c r="N8" s="197"/>
      <c r="O8" s="197"/>
      <c r="P8" s="198"/>
    </row>
    <row r="9" spans="1:16" ht="20.100000000000001" customHeight="1" x14ac:dyDescent="0.25">
      <c r="A9" s="128" t="s">
        <v>677</v>
      </c>
      <c r="B9" s="199"/>
      <c r="C9" s="199"/>
      <c r="D9" s="199"/>
      <c r="E9" s="199"/>
      <c r="F9" s="191" t="s">
        <v>719</v>
      </c>
      <c r="G9" s="192"/>
      <c r="H9" s="192"/>
      <c r="I9" s="192"/>
      <c r="J9" s="192"/>
      <c r="K9" s="192"/>
      <c r="L9" s="192"/>
      <c r="M9" s="192"/>
      <c r="N9" s="192"/>
      <c r="O9" s="192"/>
      <c r="P9" s="193"/>
    </row>
    <row r="10" spans="1:16" x14ac:dyDescent="0.25">
      <c r="A10" s="128" t="s">
        <v>678</v>
      </c>
      <c r="B10" s="180"/>
      <c r="C10" s="180"/>
      <c r="D10" s="180"/>
      <c r="E10" s="180"/>
      <c r="F10" s="191"/>
      <c r="G10" s="192"/>
      <c r="H10" s="192"/>
      <c r="I10" s="192"/>
      <c r="J10" s="192"/>
      <c r="K10" s="192"/>
      <c r="L10" s="192"/>
      <c r="M10" s="192"/>
      <c r="N10" s="192"/>
      <c r="O10" s="192"/>
      <c r="P10" s="193"/>
    </row>
    <row r="11" spans="1:16" x14ac:dyDescent="0.25">
      <c r="A11" s="128" t="s">
        <v>373</v>
      </c>
      <c r="B11" s="181"/>
      <c r="C11" s="181"/>
      <c r="D11" s="181"/>
      <c r="E11" s="181"/>
      <c r="F11" s="191"/>
      <c r="G11" s="192"/>
      <c r="H11" s="192"/>
      <c r="I11" s="192"/>
      <c r="J11" s="192"/>
      <c r="K11" s="192"/>
      <c r="L11" s="192"/>
      <c r="M11" s="192"/>
      <c r="N11" s="192"/>
      <c r="O11" s="192"/>
      <c r="P11" s="193"/>
    </row>
    <row r="12" spans="1:16" x14ac:dyDescent="0.25">
      <c r="A12" s="130" t="s">
        <v>374</v>
      </c>
      <c r="B12" s="182"/>
      <c r="C12" s="182"/>
      <c r="D12" s="182"/>
      <c r="E12" s="182"/>
      <c r="F12" s="191"/>
      <c r="G12" s="192"/>
      <c r="H12" s="192"/>
      <c r="I12" s="192"/>
      <c r="J12" s="192"/>
      <c r="K12" s="192"/>
      <c r="L12" s="192"/>
      <c r="M12" s="192"/>
      <c r="N12" s="192"/>
      <c r="O12" s="192"/>
      <c r="P12" s="193"/>
    </row>
    <row r="13" spans="1:16" x14ac:dyDescent="0.25">
      <c r="A13" s="131" t="s">
        <v>375</v>
      </c>
      <c r="B13" s="183"/>
      <c r="C13" s="183"/>
      <c r="D13" s="183"/>
      <c r="E13" s="183"/>
      <c r="F13" s="191"/>
      <c r="G13" s="192"/>
      <c r="H13" s="192"/>
      <c r="I13" s="192"/>
      <c r="J13" s="192"/>
      <c r="K13" s="192"/>
      <c r="L13" s="192"/>
      <c r="M13" s="192"/>
      <c r="N13" s="192"/>
      <c r="O13" s="192"/>
      <c r="P13" s="193"/>
    </row>
    <row r="14" spans="1:16" x14ac:dyDescent="0.25">
      <c r="A14" s="132" t="s">
        <v>376</v>
      </c>
      <c r="B14" s="184"/>
      <c r="C14" s="184"/>
      <c r="D14" s="184"/>
      <c r="E14" s="184"/>
      <c r="F14" s="191"/>
      <c r="G14" s="192"/>
      <c r="H14" s="192"/>
      <c r="I14" s="192"/>
      <c r="J14" s="192"/>
      <c r="K14" s="192"/>
      <c r="L14" s="192"/>
      <c r="M14" s="192"/>
      <c r="N14" s="192"/>
      <c r="O14" s="192"/>
      <c r="P14" s="193"/>
    </row>
    <row r="15" spans="1:16" x14ac:dyDescent="0.25">
      <c r="A15" s="133" t="s">
        <v>679</v>
      </c>
      <c r="B15" s="103"/>
      <c r="C15" s="133" t="s">
        <v>680</v>
      </c>
      <c r="D15" s="156"/>
      <c r="E15" s="157"/>
      <c r="F15" s="191"/>
      <c r="G15" s="192"/>
      <c r="H15" s="192"/>
      <c r="I15" s="192"/>
      <c r="J15" s="192"/>
      <c r="K15" s="192"/>
      <c r="L15" s="192"/>
      <c r="M15" s="192"/>
      <c r="N15" s="192"/>
      <c r="O15" s="192"/>
      <c r="P15" s="193"/>
    </row>
    <row r="16" spans="1:16" x14ac:dyDescent="0.25">
      <c r="A16" s="133" t="s">
        <v>681</v>
      </c>
      <c r="B16" s="156"/>
      <c r="C16" s="157"/>
      <c r="D16" s="157"/>
      <c r="E16" s="157"/>
      <c r="F16" s="194" t="s">
        <v>713</v>
      </c>
      <c r="G16" s="194"/>
      <c r="H16" s="194"/>
      <c r="I16" s="194"/>
      <c r="J16" s="194"/>
      <c r="K16" s="194"/>
      <c r="L16" s="194"/>
      <c r="M16" s="194"/>
      <c r="N16" s="194"/>
      <c r="O16" s="194"/>
      <c r="P16" s="194"/>
    </row>
    <row r="17" spans="1:18" ht="20.100000000000001" customHeight="1" x14ac:dyDescent="0.25">
      <c r="A17" s="134" t="s">
        <v>682</v>
      </c>
      <c r="B17" s="158"/>
      <c r="C17" s="159"/>
      <c r="D17" s="159"/>
      <c r="E17" s="159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</row>
    <row r="18" spans="1:18" x14ac:dyDescent="0.25">
      <c r="A18" s="134" t="s">
        <v>683</v>
      </c>
      <c r="B18" s="158"/>
      <c r="C18" s="159"/>
      <c r="D18" s="159"/>
      <c r="E18" s="170"/>
      <c r="F18" s="124" t="s">
        <v>711</v>
      </c>
      <c r="G18" s="126">
        <f>SUMPRODUCT(H20:H10000, I20:I10000)</f>
        <v>0</v>
      </c>
      <c r="H18" s="125" t="s">
        <v>712</v>
      </c>
      <c r="I18" s="126">
        <f>SUMPRODUCT(H20:H10000, J20:J10000)</f>
        <v>0</v>
      </c>
      <c r="J18" s="108"/>
      <c r="K18" s="108"/>
      <c r="L18" s="108"/>
      <c r="M18" s="108"/>
      <c r="N18" s="108"/>
      <c r="O18" s="108"/>
      <c r="P18" s="109"/>
    </row>
    <row r="19" spans="1:18" s="112" customFormat="1" ht="20.100000000000001" customHeight="1" x14ac:dyDescent="0.25">
      <c r="A19" s="135" t="s">
        <v>1</v>
      </c>
      <c r="B19" s="136" t="s">
        <v>2</v>
      </c>
      <c r="C19" s="110" t="s">
        <v>3</v>
      </c>
      <c r="D19" s="110" t="s">
        <v>4</v>
      </c>
      <c r="E19" s="110" t="s">
        <v>5</v>
      </c>
      <c r="F19" s="137" t="s">
        <v>6</v>
      </c>
      <c r="G19" s="137" t="s">
        <v>7</v>
      </c>
      <c r="H19" s="137" t="s">
        <v>8</v>
      </c>
      <c r="I19" s="137" t="s">
        <v>377</v>
      </c>
      <c r="J19" s="137" t="s">
        <v>9</v>
      </c>
      <c r="K19" s="138" t="s">
        <v>10</v>
      </c>
      <c r="L19" s="138" t="s">
        <v>11</v>
      </c>
      <c r="M19" s="138" t="s">
        <v>12</v>
      </c>
      <c r="N19" s="138" t="s">
        <v>13</v>
      </c>
      <c r="O19" s="137" t="s">
        <v>14</v>
      </c>
      <c r="P19" s="139" t="s">
        <v>15</v>
      </c>
      <c r="Q19" s="111" t="s">
        <v>710</v>
      </c>
      <c r="R19" s="107"/>
    </row>
    <row r="20" spans="1:18" x14ac:dyDescent="0.25">
      <c r="A20" s="113"/>
      <c r="B20" s="114"/>
      <c r="C20" s="114"/>
      <c r="D20" s="115"/>
      <c r="E20" s="116"/>
      <c r="F20" s="117"/>
      <c r="G20" s="117"/>
      <c r="H20" s="116"/>
      <c r="I20" s="118"/>
      <c r="J20" s="117"/>
      <c r="K20" s="110"/>
      <c r="L20" s="110"/>
      <c r="M20" s="110"/>
      <c r="N20" s="110"/>
      <c r="O20" s="117"/>
      <c r="P20" s="119">
        <f>LEN(D20)-SUM((LEN(D20)-LEN(SUBSTITUTE(D20,修饰列表!$B$2:$B$79,修饰列表!$D$2:$D$79))))</f>
        <v>0</v>
      </c>
      <c r="Q20" s="120">
        <f>IF(I20="",H20*J20,H20*I20)</f>
        <v>0</v>
      </c>
    </row>
    <row r="21" spans="1:18" x14ac:dyDescent="0.25">
      <c r="A21" s="121"/>
      <c r="B21" s="114"/>
      <c r="C21" s="114"/>
      <c r="D21" s="115"/>
      <c r="E21" s="104"/>
      <c r="F21" s="117"/>
      <c r="G21" s="117"/>
      <c r="H21" s="117"/>
      <c r="I21" s="122"/>
      <c r="J21" s="117"/>
      <c r="K21" s="110"/>
      <c r="L21" s="110"/>
      <c r="M21" s="110"/>
      <c r="N21" s="110"/>
      <c r="O21" s="117"/>
      <c r="P21" s="119">
        <f t="array" ref="P21">LEN(D21)-SUM((LEN(D21)-LEN(SUBSTITUTE(D21,修饰列表!$B$2:$B$79,修饰列表!$D$2:$D$79))))</f>
        <v>0</v>
      </c>
      <c r="Q21" s="120">
        <f t="shared" ref="Q21:Q84" si="0">IF(I21="",H21*J21,H21*I21)</f>
        <v>0</v>
      </c>
    </row>
    <row r="22" spans="1:18" x14ac:dyDescent="0.25">
      <c r="A22" s="113"/>
      <c r="B22" s="114"/>
      <c r="C22" s="114"/>
      <c r="D22" s="115"/>
      <c r="E22" s="104"/>
      <c r="F22" s="117"/>
      <c r="G22" s="117"/>
      <c r="H22" s="117"/>
      <c r="I22" s="122"/>
      <c r="J22" s="117"/>
      <c r="K22" s="110"/>
      <c r="L22" s="110"/>
      <c r="M22" s="110"/>
      <c r="N22" s="110"/>
      <c r="O22" s="117"/>
      <c r="P22" s="119">
        <f t="array" ref="P22">LEN(D4)-SUM((LEN(D4)-LEN(SUBSTITUTE(D4,修饰列表!$B$2:$B$79,修饰列表!$D$2:$D$79))))</f>
        <v>0</v>
      </c>
      <c r="Q22" s="120">
        <f t="shared" si="0"/>
        <v>0</v>
      </c>
    </row>
    <row r="23" spans="1:18" x14ac:dyDescent="0.25">
      <c r="A23" s="113"/>
      <c r="B23" s="114"/>
      <c r="C23" s="114"/>
      <c r="D23" s="115"/>
      <c r="E23" s="104"/>
      <c r="F23" s="117"/>
      <c r="G23" s="117"/>
      <c r="H23" s="117"/>
      <c r="I23" s="122"/>
      <c r="J23" s="117"/>
      <c r="K23" s="110"/>
      <c r="L23" s="110"/>
      <c r="M23" s="110"/>
      <c r="N23" s="110"/>
      <c r="O23" s="117"/>
      <c r="P23" s="119">
        <f t="array" ref="P23">LEN(D23)-SUM((LEN(D23)-LEN(SUBSTITUTE(D23,修饰列表!$B$2:$B$79,修饰列表!$D$2:$D$79))))</f>
        <v>0</v>
      </c>
      <c r="Q23" s="120">
        <f t="shared" si="0"/>
        <v>0</v>
      </c>
    </row>
    <row r="24" spans="1:18" x14ac:dyDescent="0.25">
      <c r="A24" s="113"/>
      <c r="B24" s="114"/>
      <c r="C24" s="114"/>
      <c r="D24" s="115"/>
      <c r="E24" s="104"/>
      <c r="F24" s="117"/>
      <c r="G24" s="117"/>
      <c r="H24" s="117"/>
      <c r="I24" s="117"/>
      <c r="J24" s="117"/>
      <c r="K24" s="110"/>
      <c r="L24" s="110"/>
      <c r="M24" s="110"/>
      <c r="N24" s="110"/>
      <c r="O24" s="117"/>
      <c r="P24" s="119">
        <f t="array" ref="P24">LEN(D24)-SUM((LEN(D24)-LEN(SUBSTITUTE(D24,修饰列表!$B$2:$B$79,修饰列表!$D$2:$D$79))))</f>
        <v>0</v>
      </c>
      <c r="Q24" s="120">
        <f t="shared" si="0"/>
        <v>0</v>
      </c>
    </row>
    <row r="25" spans="1:18" x14ac:dyDescent="0.25">
      <c r="A25" s="113"/>
      <c r="B25" s="114"/>
      <c r="C25" s="114"/>
      <c r="D25" s="115"/>
      <c r="E25" s="104"/>
      <c r="F25" s="117"/>
      <c r="G25" s="117"/>
      <c r="H25" s="117"/>
      <c r="I25" s="117"/>
      <c r="J25" s="117"/>
      <c r="K25" s="110"/>
      <c r="L25" s="110"/>
      <c r="M25" s="110"/>
      <c r="N25" s="110"/>
      <c r="O25" s="117"/>
      <c r="P25" s="119">
        <f t="array" ref="P25">LEN(D25)-SUM((LEN(D25)-LEN(SUBSTITUTE(D25,修饰列表!$B$2:$B$79,修饰列表!$D$2:$D$79))))</f>
        <v>0</v>
      </c>
      <c r="Q25" s="120">
        <f t="shared" si="0"/>
        <v>0</v>
      </c>
    </row>
    <row r="26" spans="1:18" x14ac:dyDescent="0.25">
      <c r="A26" s="113"/>
      <c r="B26" s="114"/>
      <c r="C26" s="114"/>
      <c r="D26" s="115"/>
      <c r="E26" s="104"/>
      <c r="F26" s="117"/>
      <c r="G26" s="117"/>
      <c r="H26" s="117"/>
      <c r="I26" s="117"/>
      <c r="J26" s="117"/>
      <c r="K26" s="110"/>
      <c r="L26" s="110"/>
      <c r="M26" s="110"/>
      <c r="N26" s="110"/>
      <c r="O26" s="117"/>
      <c r="P26" s="119">
        <f t="array" ref="P26">LEN(D26)-SUM((LEN(D26)-LEN(SUBSTITUTE(D26,修饰列表!$B$2:$B$79,修饰列表!$D$2:$D$79))))</f>
        <v>0</v>
      </c>
      <c r="Q26" s="120">
        <f t="shared" si="0"/>
        <v>0</v>
      </c>
    </row>
    <row r="27" spans="1:18" x14ac:dyDescent="0.25">
      <c r="A27" s="113"/>
      <c r="B27" s="114"/>
      <c r="C27" s="114"/>
      <c r="D27" s="115"/>
      <c r="E27" s="104"/>
      <c r="F27" s="117"/>
      <c r="G27" s="117"/>
      <c r="H27" s="117"/>
      <c r="I27" s="122"/>
      <c r="J27" s="117"/>
      <c r="K27" s="110"/>
      <c r="L27" s="110"/>
      <c r="M27" s="110"/>
      <c r="N27" s="110"/>
      <c r="O27" s="117"/>
      <c r="P27" s="119">
        <f t="array" ref="P27">LEN(D27)-SUM((LEN(D27)-LEN(SUBSTITUTE(D27,修饰列表!$B$2:$B$79,修饰列表!$D$2:$D$79))))</f>
        <v>0</v>
      </c>
      <c r="Q27" s="120">
        <f t="shared" si="0"/>
        <v>0</v>
      </c>
    </row>
    <row r="28" spans="1:18" x14ac:dyDescent="0.25">
      <c r="A28" s="113"/>
      <c r="B28" s="114"/>
      <c r="C28" s="114"/>
      <c r="D28" s="115"/>
      <c r="E28" s="104"/>
      <c r="F28" s="117"/>
      <c r="G28" s="117"/>
      <c r="H28" s="117"/>
      <c r="I28" s="117"/>
      <c r="J28" s="117"/>
      <c r="K28" s="110"/>
      <c r="L28" s="110"/>
      <c r="M28" s="110"/>
      <c r="N28" s="110"/>
      <c r="O28" s="117"/>
      <c r="P28" s="119">
        <f t="array" ref="P28">LEN(D28)-SUM((LEN(D28)-LEN(SUBSTITUTE(D28,修饰列表!$B$2:$B$79,修饰列表!$D$2:$D$79))))</f>
        <v>0</v>
      </c>
      <c r="Q28" s="120">
        <f t="shared" si="0"/>
        <v>0</v>
      </c>
    </row>
    <row r="29" spans="1:18" x14ac:dyDescent="0.25">
      <c r="A29" s="113"/>
      <c r="B29" s="114"/>
      <c r="C29" s="114"/>
      <c r="D29" s="115"/>
      <c r="E29" s="104"/>
      <c r="F29" s="117"/>
      <c r="G29" s="117"/>
      <c r="H29" s="116"/>
      <c r="I29" s="118"/>
      <c r="J29" s="117"/>
      <c r="K29" s="110"/>
      <c r="L29" s="110"/>
      <c r="M29" s="110"/>
      <c r="N29" s="110"/>
      <c r="O29" s="117"/>
      <c r="P29" s="119">
        <f t="array" ref="P29">LEN(D29)-SUM((LEN(D29)-LEN(SUBSTITUTE(D29,修饰列表!$B$2:$B$79,修饰列表!$D$2:$D$79))))</f>
        <v>0</v>
      </c>
      <c r="Q29" s="120">
        <f t="shared" si="0"/>
        <v>0</v>
      </c>
    </row>
    <row r="30" spans="1:18" x14ac:dyDescent="0.25">
      <c r="A30" s="113"/>
      <c r="B30" s="114"/>
      <c r="C30" s="114"/>
      <c r="D30" s="115"/>
      <c r="E30" s="104"/>
      <c r="F30" s="117"/>
      <c r="G30" s="117"/>
      <c r="H30" s="117"/>
      <c r="I30" s="122"/>
      <c r="J30" s="117"/>
      <c r="K30" s="110"/>
      <c r="L30" s="110"/>
      <c r="M30" s="110"/>
      <c r="N30" s="110"/>
      <c r="O30" s="117"/>
      <c r="P30" s="119">
        <f t="array" ref="P30">LEN(D30)-SUM((LEN(D30)-LEN(SUBSTITUTE(D30,修饰列表!$B$2:$B$79,修饰列表!$D$2:$D$79))))</f>
        <v>0</v>
      </c>
      <c r="Q30" s="120">
        <f t="shared" si="0"/>
        <v>0</v>
      </c>
    </row>
    <row r="31" spans="1:18" x14ac:dyDescent="0.25">
      <c r="A31" s="113"/>
      <c r="B31" s="114"/>
      <c r="C31" s="114"/>
      <c r="D31" s="115"/>
      <c r="E31" s="104"/>
      <c r="F31" s="117"/>
      <c r="G31" s="117"/>
      <c r="H31" s="117"/>
      <c r="I31" s="122"/>
      <c r="J31" s="117"/>
      <c r="K31" s="110"/>
      <c r="L31" s="110"/>
      <c r="M31" s="110"/>
      <c r="N31" s="110"/>
      <c r="O31" s="117"/>
      <c r="P31" s="119">
        <f t="array" ref="P31">LEN(D31)-SUM((LEN(D31)-LEN(SUBSTITUTE(D31,修饰列表!$B$2:$B$79,修饰列表!$D$2:$D$79))))</f>
        <v>0</v>
      </c>
      <c r="Q31" s="120">
        <f t="shared" si="0"/>
        <v>0</v>
      </c>
    </row>
    <row r="32" spans="1:18" x14ac:dyDescent="0.25">
      <c r="A32" s="113"/>
      <c r="B32" s="114"/>
      <c r="C32" s="114"/>
      <c r="D32" s="115"/>
      <c r="E32" s="104"/>
      <c r="F32" s="117"/>
      <c r="G32" s="117"/>
      <c r="H32" s="117"/>
      <c r="I32" s="122"/>
      <c r="J32" s="117"/>
      <c r="K32" s="110"/>
      <c r="L32" s="110"/>
      <c r="M32" s="110"/>
      <c r="N32" s="110"/>
      <c r="O32" s="117"/>
      <c r="P32" s="119">
        <f t="array" ref="P32">LEN(D32)-SUM((LEN(D32)-LEN(SUBSTITUTE(D32,修饰列表!$B$2:$B$79,修饰列表!$D$2:$D$79))))</f>
        <v>0</v>
      </c>
      <c r="Q32" s="120">
        <f t="shared" si="0"/>
        <v>0</v>
      </c>
    </row>
    <row r="33" spans="1:17" x14ac:dyDescent="0.25">
      <c r="A33" s="113"/>
      <c r="B33" s="114"/>
      <c r="C33" s="114"/>
      <c r="D33" s="115"/>
      <c r="E33" s="104"/>
      <c r="F33" s="117"/>
      <c r="G33" s="117"/>
      <c r="H33" s="117"/>
      <c r="I33" s="117"/>
      <c r="J33" s="117"/>
      <c r="K33" s="110"/>
      <c r="L33" s="110"/>
      <c r="M33" s="110"/>
      <c r="N33" s="110"/>
      <c r="O33" s="117"/>
      <c r="P33" s="119">
        <f t="array" ref="P33">LEN(D33)-SUM((LEN(D33)-LEN(SUBSTITUTE(D33,修饰列表!$B$2:$B$79,修饰列表!$D$2:$D$79))))</f>
        <v>0</v>
      </c>
      <c r="Q33" s="120">
        <f t="shared" si="0"/>
        <v>0</v>
      </c>
    </row>
    <row r="34" spans="1:17" x14ac:dyDescent="0.25">
      <c r="A34" s="113"/>
      <c r="B34" s="114"/>
      <c r="C34" s="114"/>
      <c r="D34" s="115"/>
      <c r="E34" s="104"/>
      <c r="F34" s="117"/>
      <c r="G34" s="117"/>
      <c r="H34" s="117"/>
      <c r="I34" s="117"/>
      <c r="J34" s="117"/>
      <c r="K34" s="110"/>
      <c r="L34" s="110"/>
      <c r="M34" s="110"/>
      <c r="N34" s="110"/>
      <c r="O34" s="117"/>
      <c r="P34" s="119">
        <f t="array" ref="P34">LEN(D34)-SUM((LEN(D34)-LEN(SUBSTITUTE(D34,修饰列表!$B$2:$B$79,修饰列表!$D$2:$D$79))))</f>
        <v>0</v>
      </c>
      <c r="Q34" s="120">
        <f t="shared" si="0"/>
        <v>0</v>
      </c>
    </row>
    <row r="35" spans="1:17" x14ac:dyDescent="0.25">
      <c r="A35" s="113"/>
      <c r="B35" s="114"/>
      <c r="C35" s="114"/>
      <c r="D35" s="115"/>
      <c r="E35" s="104"/>
      <c r="F35" s="117"/>
      <c r="G35" s="117"/>
      <c r="H35" s="117"/>
      <c r="I35" s="117"/>
      <c r="J35" s="117"/>
      <c r="K35" s="110"/>
      <c r="L35" s="110"/>
      <c r="M35" s="110"/>
      <c r="N35" s="110"/>
      <c r="O35" s="117"/>
      <c r="P35" s="119">
        <f t="array" ref="P35">LEN(D35)-SUM((LEN(D35)-LEN(SUBSTITUTE(D35,修饰列表!$B$2:$B$79,修饰列表!$D$2:$D$79))))</f>
        <v>0</v>
      </c>
      <c r="Q35" s="120">
        <f t="shared" si="0"/>
        <v>0</v>
      </c>
    </row>
    <row r="36" spans="1:17" x14ac:dyDescent="0.25">
      <c r="A36" s="113"/>
      <c r="B36" s="114"/>
      <c r="C36" s="114"/>
      <c r="D36" s="115"/>
      <c r="E36" s="104"/>
      <c r="F36" s="117"/>
      <c r="G36" s="117"/>
      <c r="H36" s="117"/>
      <c r="I36" s="122"/>
      <c r="J36" s="117"/>
      <c r="K36" s="110"/>
      <c r="L36" s="110"/>
      <c r="M36" s="110"/>
      <c r="N36" s="110"/>
      <c r="O36" s="117"/>
      <c r="P36" s="119">
        <f t="array" ref="P36">LEN(D36)-SUM((LEN(D36)-LEN(SUBSTITUTE(D36,修饰列表!$B$2:$B$79,修饰列表!$D$2:$D$79))))</f>
        <v>0</v>
      </c>
      <c r="Q36" s="120">
        <f t="shared" si="0"/>
        <v>0</v>
      </c>
    </row>
    <row r="37" spans="1:17" x14ac:dyDescent="0.25">
      <c r="A37" s="113"/>
      <c r="B37" s="114"/>
      <c r="C37" s="114"/>
      <c r="D37" s="115"/>
      <c r="E37" s="104"/>
      <c r="F37" s="117"/>
      <c r="G37" s="117"/>
      <c r="H37" s="117"/>
      <c r="I37" s="117"/>
      <c r="J37" s="117"/>
      <c r="K37" s="110"/>
      <c r="L37" s="110"/>
      <c r="M37" s="110"/>
      <c r="N37" s="110"/>
      <c r="O37" s="117"/>
      <c r="P37" s="119">
        <f t="array" ref="P37">LEN(D37)-SUM((LEN(D37)-LEN(SUBSTITUTE(D37,修饰列表!$B$2:$B$79,修饰列表!$D$2:$D$79))))</f>
        <v>0</v>
      </c>
      <c r="Q37" s="120">
        <f t="shared" si="0"/>
        <v>0</v>
      </c>
    </row>
    <row r="38" spans="1:17" x14ac:dyDescent="0.25">
      <c r="A38" s="113"/>
      <c r="B38" s="114"/>
      <c r="C38" s="114"/>
      <c r="D38" s="115"/>
      <c r="E38" s="104"/>
      <c r="F38" s="117"/>
      <c r="G38" s="117"/>
      <c r="H38" s="117"/>
      <c r="I38" s="117"/>
      <c r="J38" s="117"/>
      <c r="K38" s="110"/>
      <c r="L38" s="110"/>
      <c r="M38" s="110"/>
      <c r="N38" s="110"/>
      <c r="O38" s="117"/>
      <c r="P38" s="119">
        <f t="array" ref="P38">LEN(D38)-SUM((LEN(D38)-LEN(SUBSTITUTE(D38,修饰列表!$B$2:$B$79,修饰列表!$D$2:$D$79))))</f>
        <v>0</v>
      </c>
      <c r="Q38" s="120">
        <f t="shared" si="0"/>
        <v>0</v>
      </c>
    </row>
    <row r="39" spans="1:17" x14ac:dyDescent="0.25">
      <c r="A39" s="113"/>
      <c r="B39" s="114"/>
      <c r="C39" s="114"/>
      <c r="D39" s="115"/>
      <c r="E39" s="104"/>
      <c r="F39" s="117"/>
      <c r="G39" s="117"/>
      <c r="H39" s="117"/>
      <c r="I39" s="117"/>
      <c r="J39" s="117"/>
      <c r="K39" s="110"/>
      <c r="L39" s="110"/>
      <c r="M39" s="110"/>
      <c r="N39" s="110"/>
      <c r="O39" s="117"/>
      <c r="P39" s="119">
        <f t="array" ref="P39">LEN(D39)-SUM((LEN(D39)-LEN(SUBSTITUTE(D39,修饰列表!$B$2:$B$79,修饰列表!$D$2:$D$79))))</f>
        <v>0</v>
      </c>
      <c r="Q39" s="120">
        <f t="shared" si="0"/>
        <v>0</v>
      </c>
    </row>
    <row r="40" spans="1:17" x14ac:dyDescent="0.25">
      <c r="A40" s="113"/>
      <c r="B40" s="114"/>
      <c r="C40" s="114"/>
      <c r="D40" s="115"/>
      <c r="E40" s="104"/>
      <c r="F40" s="117"/>
      <c r="G40" s="117"/>
      <c r="H40" s="117"/>
      <c r="I40" s="117"/>
      <c r="J40" s="117"/>
      <c r="K40" s="110"/>
      <c r="L40" s="110"/>
      <c r="M40" s="110"/>
      <c r="N40" s="110"/>
      <c r="O40" s="117"/>
      <c r="P40" s="119">
        <f t="array" ref="P40">LEN(D40)-SUM((LEN(D40)-LEN(SUBSTITUTE(D40,修饰列表!$B$2:$B$79,修饰列表!$D$2:$D$79))))</f>
        <v>0</v>
      </c>
      <c r="Q40" s="120">
        <f t="shared" si="0"/>
        <v>0</v>
      </c>
    </row>
    <row r="41" spans="1:17" x14ac:dyDescent="0.25">
      <c r="A41" s="113"/>
      <c r="B41" s="114"/>
      <c r="C41" s="114"/>
      <c r="D41" s="115"/>
      <c r="E41" s="104"/>
      <c r="F41" s="117"/>
      <c r="G41" s="117"/>
      <c r="H41" s="117"/>
      <c r="I41" s="117"/>
      <c r="J41" s="117"/>
      <c r="K41" s="110"/>
      <c r="L41" s="110"/>
      <c r="M41" s="110"/>
      <c r="N41" s="110"/>
      <c r="O41" s="117"/>
      <c r="P41" s="119">
        <f t="array" ref="P41">LEN(D41)-SUM((LEN(D41)-LEN(SUBSTITUTE(D41,修饰列表!$B$2:$B$79,修饰列表!$D$2:$D$79))))</f>
        <v>0</v>
      </c>
      <c r="Q41" s="120">
        <f t="shared" si="0"/>
        <v>0</v>
      </c>
    </row>
    <row r="42" spans="1:17" x14ac:dyDescent="0.25">
      <c r="A42" s="113"/>
      <c r="B42" s="114"/>
      <c r="C42" s="114"/>
      <c r="D42" s="115"/>
      <c r="E42" s="104"/>
      <c r="F42" s="117"/>
      <c r="G42" s="117"/>
      <c r="H42" s="117"/>
      <c r="I42" s="117"/>
      <c r="J42" s="117"/>
      <c r="K42" s="110"/>
      <c r="L42" s="110"/>
      <c r="M42" s="110"/>
      <c r="N42" s="110"/>
      <c r="O42" s="117"/>
      <c r="P42" s="119">
        <f t="array" ref="P42">LEN(D42)-SUM((LEN(D42)-LEN(SUBSTITUTE(D42,修饰列表!$B$2:$B$79,修饰列表!$D$2:$D$79))))</f>
        <v>0</v>
      </c>
      <c r="Q42" s="120">
        <f t="shared" si="0"/>
        <v>0</v>
      </c>
    </row>
    <row r="43" spans="1:17" x14ac:dyDescent="0.25">
      <c r="A43" s="113"/>
      <c r="B43" s="114"/>
      <c r="C43" s="114"/>
      <c r="D43" s="115"/>
      <c r="E43" s="104"/>
      <c r="F43" s="117"/>
      <c r="G43" s="117"/>
      <c r="H43" s="117"/>
      <c r="I43" s="117"/>
      <c r="J43" s="117"/>
      <c r="K43" s="110"/>
      <c r="L43" s="110"/>
      <c r="M43" s="110"/>
      <c r="N43" s="110"/>
      <c r="O43" s="117"/>
      <c r="P43" s="119">
        <f t="array" ref="P43">LEN(D43)-SUM((LEN(D43)-LEN(SUBSTITUTE(D43,修饰列表!$B$2:$B$79,修饰列表!$D$2:$D$79))))</f>
        <v>0</v>
      </c>
      <c r="Q43" s="120">
        <f t="shared" si="0"/>
        <v>0</v>
      </c>
    </row>
    <row r="44" spans="1:17" x14ac:dyDescent="0.25">
      <c r="A44" s="113"/>
      <c r="B44" s="114"/>
      <c r="C44" s="114"/>
      <c r="D44" s="115"/>
      <c r="E44" s="104"/>
      <c r="F44" s="117"/>
      <c r="G44" s="117"/>
      <c r="H44" s="117"/>
      <c r="I44" s="117"/>
      <c r="J44" s="117"/>
      <c r="K44" s="110"/>
      <c r="L44" s="110"/>
      <c r="M44" s="110"/>
      <c r="N44" s="110"/>
      <c r="O44" s="117"/>
      <c r="P44" s="119">
        <f t="array" ref="P44">LEN(D44)-SUM((LEN(D44)-LEN(SUBSTITUTE(D44,修饰列表!$B$2:$B$79,修饰列表!$D$2:$D$79))))</f>
        <v>0</v>
      </c>
      <c r="Q44" s="120">
        <f t="shared" si="0"/>
        <v>0</v>
      </c>
    </row>
    <row r="45" spans="1:17" x14ac:dyDescent="0.25">
      <c r="A45" s="113"/>
      <c r="B45" s="114"/>
      <c r="C45" s="114"/>
      <c r="D45" s="115"/>
      <c r="E45" s="104"/>
      <c r="F45" s="117"/>
      <c r="G45" s="117"/>
      <c r="H45" s="117"/>
      <c r="I45" s="117"/>
      <c r="J45" s="117"/>
      <c r="K45" s="110"/>
      <c r="L45" s="110"/>
      <c r="M45" s="110"/>
      <c r="N45" s="110"/>
      <c r="O45" s="117"/>
      <c r="P45" s="119">
        <f t="array" ref="P45">LEN(D45)-SUM((LEN(D45)-LEN(SUBSTITUTE(D45,修饰列表!$B$2:$B$79,修饰列表!$D$2:$D$79))))</f>
        <v>0</v>
      </c>
      <c r="Q45" s="120">
        <f t="shared" si="0"/>
        <v>0</v>
      </c>
    </row>
    <row r="46" spans="1:17" x14ac:dyDescent="0.25">
      <c r="A46" s="113"/>
      <c r="B46" s="114"/>
      <c r="C46" s="114"/>
      <c r="D46" s="115"/>
      <c r="E46" s="104"/>
      <c r="F46" s="117"/>
      <c r="G46" s="117"/>
      <c r="H46" s="117"/>
      <c r="I46" s="117"/>
      <c r="J46" s="117"/>
      <c r="K46" s="110"/>
      <c r="L46" s="110"/>
      <c r="M46" s="110"/>
      <c r="N46" s="110"/>
      <c r="O46" s="117"/>
      <c r="P46" s="119">
        <f t="array" ref="P46">LEN(D46)-SUM((LEN(D46)-LEN(SUBSTITUTE(D46,修饰列表!$B$2:$B$79,修饰列表!$D$2:$D$79))))</f>
        <v>0</v>
      </c>
      <c r="Q46" s="120">
        <f t="shared" si="0"/>
        <v>0</v>
      </c>
    </row>
    <row r="47" spans="1:17" x14ac:dyDescent="0.25">
      <c r="A47" s="113"/>
      <c r="B47" s="114"/>
      <c r="C47" s="114"/>
      <c r="D47" s="115"/>
      <c r="E47" s="104"/>
      <c r="F47" s="117"/>
      <c r="G47" s="117"/>
      <c r="H47" s="117"/>
      <c r="I47" s="117"/>
      <c r="J47" s="117"/>
      <c r="K47" s="110"/>
      <c r="L47" s="110"/>
      <c r="M47" s="110"/>
      <c r="N47" s="110"/>
      <c r="O47" s="117"/>
      <c r="P47" s="119">
        <f t="array" ref="P47">LEN(D47)-SUM((LEN(D47)-LEN(SUBSTITUTE(D47,修饰列表!$B$2:$B$79,修饰列表!$D$2:$D$79))))</f>
        <v>0</v>
      </c>
      <c r="Q47" s="120">
        <f t="shared" si="0"/>
        <v>0</v>
      </c>
    </row>
    <row r="48" spans="1:17" x14ac:dyDescent="0.25">
      <c r="A48" s="113"/>
      <c r="B48" s="114"/>
      <c r="C48" s="114"/>
      <c r="D48" s="115"/>
      <c r="E48" s="104"/>
      <c r="F48" s="117"/>
      <c r="G48" s="117"/>
      <c r="H48" s="117"/>
      <c r="I48" s="117"/>
      <c r="J48" s="117"/>
      <c r="K48" s="110"/>
      <c r="L48" s="110"/>
      <c r="M48" s="110"/>
      <c r="N48" s="110"/>
      <c r="O48" s="117"/>
      <c r="P48" s="119">
        <f t="array" ref="P48">LEN(D48)-SUM((LEN(D48)-LEN(SUBSTITUTE(D48,修饰列表!$B$2:$B$79,修饰列表!$D$2:$D$79))))</f>
        <v>0</v>
      </c>
      <c r="Q48" s="120">
        <f t="shared" si="0"/>
        <v>0</v>
      </c>
    </row>
    <row r="49" spans="1:17" x14ac:dyDescent="0.25">
      <c r="A49" s="113"/>
      <c r="B49" s="114"/>
      <c r="C49" s="114"/>
      <c r="D49" s="115"/>
      <c r="E49" s="104"/>
      <c r="F49" s="117"/>
      <c r="G49" s="117"/>
      <c r="H49" s="117"/>
      <c r="I49" s="117"/>
      <c r="J49" s="117"/>
      <c r="K49" s="110"/>
      <c r="L49" s="110"/>
      <c r="M49" s="110"/>
      <c r="N49" s="110"/>
      <c r="O49" s="117"/>
      <c r="P49" s="119">
        <f t="array" ref="P49">LEN(D49)-SUM((LEN(D49)-LEN(SUBSTITUTE(D49,修饰列表!$B$2:$B$79,修饰列表!$D$2:$D$79))))</f>
        <v>0</v>
      </c>
      <c r="Q49" s="120">
        <f t="shared" si="0"/>
        <v>0</v>
      </c>
    </row>
    <row r="50" spans="1:17" x14ac:dyDescent="0.25">
      <c r="A50" s="113"/>
      <c r="B50" s="114"/>
      <c r="C50" s="114"/>
      <c r="D50" s="115"/>
      <c r="E50" s="104"/>
      <c r="F50" s="117"/>
      <c r="G50" s="117"/>
      <c r="H50" s="117"/>
      <c r="I50" s="117"/>
      <c r="J50" s="117"/>
      <c r="K50" s="110"/>
      <c r="L50" s="110"/>
      <c r="M50" s="110"/>
      <c r="N50" s="110"/>
      <c r="O50" s="117"/>
      <c r="P50" s="119">
        <f t="array" ref="P50">LEN(D50)-SUM((LEN(D50)-LEN(SUBSTITUTE(D50,修饰列表!$B$2:$B$79,修饰列表!$D$2:$D$79))))</f>
        <v>0</v>
      </c>
      <c r="Q50" s="120">
        <f t="shared" si="0"/>
        <v>0</v>
      </c>
    </row>
    <row r="51" spans="1:17" x14ac:dyDescent="0.25">
      <c r="A51" s="113"/>
      <c r="B51" s="114"/>
      <c r="C51" s="114"/>
      <c r="D51" s="115"/>
      <c r="E51" s="104"/>
      <c r="F51" s="117"/>
      <c r="G51" s="117"/>
      <c r="H51" s="117"/>
      <c r="I51" s="117"/>
      <c r="J51" s="117"/>
      <c r="K51" s="110"/>
      <c r="L51" s="110"/>
      <c r="M51" s="110"/>
      <c r="N51" s="110"/>
      <c r="O51" s="117"/>
      <c r="P51" s="119">
        <f t="array" ref="P51">LEN(D51)-SUM((LEN(D51)-LEN(SUBSTITUTE(D51,修饰列表!$B$2:$B$79,修饰列表!$D$2:$D$79))))</f>
        <v>0</v>
      </c>
      <c r="Q51" s="120">
        <f t="shared" si="0"/>
        <v>0</v>
      </c>
    </row>
    <row r="52" spans="1:17" x14ac:dyDescent="0.25">
      <c r="A52" s="113"/>
      <c r="B52" s="114"/>
      <c r="C52" s="114"/>
      <c r="D52" s="115"/>
      <c r="E52" s="104"/>
      <c r="F52" s="117"/>
      <c r="G52" s="117"/>
      <c r="H52" s="117"/>
      <c r="I52" s="117"/>
      <c r="J52" s="117"/>
      <c r="K52" s="110"/>
      <c r="L52" s="110"/>
      <c r="M52" s="110"/>
      <c r="N52" s="110"/>
      <c r="O52" s="117"/>
      <c r="P52" s="119">
        <f t="array" ref="P52">LEN(D52)-SUM((LEN(D52)-LEN(SUBSTITUTE(D52,修饰列表!$B$2:$B$79,修饰列表!$D$2:$D$79))))</f>
        <v>0</v>
      </c>
      <c r="Q52" s="120">
        <f t="shared" si="0"/>
        <v>0</v>
      </c>
    </row>
    <row r="53" spans="1:17" x14ac:dyDescent="0.25">
      <c r="A53" s="113"/>
      <c r="B53" s="114"/>
      <c r="C53" s="114"/>
      <c r="D53" s="115"/>
      <c r="E53" s="104"/>
      <c r="F53" s="117"/>
      <c r="G53" s="117"/>
      <c r="H53" s="117"/>
      <c r="I53" s="117"/>
      <c r="J53" s="117"/>
      <c r="K53" s="110"/>
      <c r="L53" s="110"/>
      <c r="M53" s="110"/>
      <c r="N53" s="110"/>
      <c r="O53" s="117"/>
      <c r="P53" s="119">
        <f t="array" ref="P53">LEN(D53)-SUM((LEN(D53)-LEN(SUBSTITUTE(D53,修饰列表!$B$2:$B$79,修饰列表!$D$2:$D$79))))</f>
        <v>0</v>
      </c>
      <c r="Q53" s="120">
        <f t="shared" si="0"/>
        <v>0</v>
      </c>
    </row>
    <row r="54" spans="1:17" x14ac:dyDescent="0.25">
      <c r="A54" s="113"/>
      <c r="B54" s="114"/>
      <c r="C54" s="114"/>
      <c r="D54" s="115"/>
      <c r="E54" s="104"/>
      <c r="F54" s="117"/>
      <c r="G54" s="117"/>
      <c r="H54" s="117"/>
      <c r="I54" s="117"/>
      <c r="J54" s="117"/>
      <c r="K54" s="110"/>
      <c r="L54" s="110"/>
      <c r="M54" s="110"/>
      <c r="N54" s="110"/>
      <c r="O54" s="117"/>
      <c r="P54" s="119">
        <f t="array" ref="P54">LEN(D54)-SUM((LEN(D54)-LEN(SUBSTITUTE(D54,修饰列表!$B$2:$B$79,修饰列表!$D$2:$D$79))))</f>
        <v>0</v>
      </c>
      <c r="Q54" s="120">
        <f t="shared" si="0"/>
        <v>0</v>
      </c>
    </row>
    <row r="55" spans="1:17" x14ac:dyDescent="0.25">
      <c r="A55" s="113"/>
      <c r="B55" s="114"/>
      <c r="C55" s="114"/>
      <c r="D55" s="115"/>
      <c r="E55" s="104"/>
      <c r="F55" s="117"/>
      <c r="G55" s="117"/>
      <c r="H55" s="117"/>
      <c r="I55" s="117"/>
      <c r="J55" s="117"/>
      <c r="K55" s="110"/>
      <c r="L55" s="110"/>
      <c r="M55" s="110"/>
      <c r="N55" s="110"/>
      <c r="O55" s="117"/>
      <c r="P55" s="119">
        <f t="array" ref="P55">LEN(D55)-SUM((LEN(D55)-LEN(SUBSTITUTE(D55,修饰列表!$B$2:$B$79,修饰列表!$D$2:$D$79))))</f>
        <v>0</v>
      </c>
      <c r="Q55" s="120">
        <f t="shared" si="0"/>
        <v>0</v>
      </c>
    </row>
    <row r="56" spans="1:17" x14ac:dyDescent="0.25">
      <c r="A56" s="113"/>
      <c r="B56" s="114"/>
      <c r="C56" s="114"/>
      <c r="D56" s="115"/>
      <c r="E56" s="104"/>
      <c r="F56" s="117"/>
      <c r="G56" s="117"/>
      <c r="H56" s="117"/>
      <c r="I56" s="117"/>
      <c r="J56" s="117"/>
      <c r="K56" s="110"/>
      <c r="L56" s="110"/>
      <c r="M56" s="110"/>
      <c r="N56" s="110"/>
      <c r="O56" s="117"/>
      <c r="P56" s="119">
        <f t="array" ref="P56">LEN(D56)-SUM((LEN(D56)-LEN(SUBSTITUTE(D56,修饰列表!$B$2:$B$79,修饰列表!$D$2:$D$79))))</f>
        <v>0</v>
      </c>
      <c r="Q56" s="120">
        <f t="shared" si="0"/>
        <v>0</v>
      </c>
    </row>
    <row r="57" spans="1:17" x14ac:dyDescent="0.25">
      <c r="A57" s="113"/>
      <c r="B57" s="114"/>
      <c r="C57" s="114"/>
      <c r="D57" s="115"/>
      <c r="E57" s="104"/>
      <c r="F57" s="117"/>
      <c r="G57" s="117"/>
      <c r="H57" s="117"/>
      <c r="I57" s="117"/>
      <c r="J57" s="117"/>
      <c r="K57" s="110"/>
      <c r="L57" s="110"/>
      <c r="M57" s="110"/>
      <c r="N57" s="110"/>
      <c r="O57" s="117"/>
      <c r="P57" s="119">
        <f t="array" ref="P57">LEN(D57)-SUM((LEN(D57)-LEN(SUBSTITUTE(D57,修饰列表!$B$2:$B$79,修饰列表!$D$2:$D$79))))</f>
        <v>0</v>
      </c>
      <c r="Q57" s="120">
        <f t="shared" si="0"/>
        <v>0</v>
      </c>
    </row>
    <row r="58" spans="1:17" x14ac:dyDescent="0.25">
      <c r="A58" s="113"/>
      <c r="B58" s="114"/>
      <c r="C58" s="114"/>
      <c r="D58" s="115"/>
      <c r="E58" s="104"/>
      <c r="F58" s="117"/>
      <c r="G58" s="117"/>
      <c r="H58" s="117"/>
      <c r="I58" s="117"/>
      <c r="J58" s="117"/>
      <c r="K58" s="110"/>
      <c r="L58" s="110"/>
      <c r="M58" s="110"/>
      <c r="N58" s="110"/>
      <c r="O58" s="117"/>
      <c r="P58" s="119">
        <f t="array" ref="P58">LEN(D58)-SUM((LEN(D58)-LEN(SUBSTITUTE(D58,修饰列表!$B$2:$B$79,修饰列表!$D$2:$D$79))))</f>
        <v>0</v>
      </c>
      <c r="Q58" s="120">
        <f t="shared" si="0"/>
        <v>0</v>
      </c>
    </row>
    <row r="59" spans="1:17" x14ac:dyDescent="0.25">
      <c r="A59" s="113"/>
      <c r="B59" s="114"/>
      <c r="C59" s="114"/>
      <c r="D59" s="115"/>
      <c r="E59" s="104"/>
      <c r="F59" s="117"/>
      <c r="G59" s="117"/>
      <c r="H59" s="117"/>
      <c r="I59" s="117"/>
      <c r="J59" s="117"/>
      <c r="K59" s="110"/>
      <c r="L59" s="110"/>
      <c r="M59" s="110"/>
      <c r="N59" s="110"/>
      <c r="O59" s="117"/>
      <c r="P59" s="119">
        <f t="array" ref="P59">LEN(D59)-SUM((LEN(D59)-LEN(SUBSTITUTE(D59,修饰列表!$B$2:$B$79,修饰列表!$D$2:$D$79))))</f>
        <v>0</v>
      </c>
      <c r="Q59" s="120">
        <f t="shared" si="0"/>
        <v>0</v>
      </c>
    </row>
    <row r="60" spans="1:17" x14ac:dyDescent="0.25">
      <c r="A60" s="113"/>
      <c r="B60" s="114"/>
      <c r="C60" s="114"/>
      <c r="D60" s="115"/>
      <c r="E60" s="104"/>
      <c r="F60" s="117"/>
      <c r="G60" s="117"/>
      <c r="H60" s="117"/>
      <c r="I60" s="117"/>
      <c r="J60" s="117"/>
      <c r="K60" s="110"/>
      <c r="L60" s="110"/>
      <c r="M60" s="110"/>
      <c r="N60" s="110"/>
      <c r="O60" s="117"/>
      <c r="P60" s="119">
        <f t="array" ref="P60">LEN(D60)-SUM((LEN(D60)-LEN(SUBSTITUTE(D60,修饰列表!$B$2:$B$79,修饰列表!$D$2:$D$79))))</f>
        <v>0</v>
      </c>
      <c r="Q60" s="120">
        <f t="shared" si="0"/>
        <v>0</v>
      </c>
    </row>
    <row r="61" spans="1:17" x14ac:dyDescent="0.25">
      <c r="A61" s="113"/>
      <c r="B61" s="114"/>
      <c r="C61" s="114"/>
      <c r="D61" s="115"/>
      <c r="E61" s="104"/>
      <c r="F61" s="117"/>
      <c r="G61" s="117"/>
      <c r="H61" s="117"/>
      <c r="I61" s="117"/>
      <c r="J61" s="117"/>
      <c r="K61" s="110"/>
      <c r="L61" s="110"/>
      <c r="M61" s="110"/>
      <c r="N61" s="110"/>
      <c r="O61" s="117"/>
      <c r="P61" s="119">
        <f>LEN(D61)-SUM((LEN(D61)-LEN(SUBSTITUTE(D61,修饰列表!$B$2:$B$80,修饰列表!$D$2:$D$80))))</f>
        <v>0</v>
      </c>
      <c r="Q61" s="120">
        <f t="shared" si="0"/>
        <v>0</v>
      </c>
    </row>
    <row r="62" spans="1:17" x14ac:dyDescent="0.25">
      <c r="A62" s="113"/>
      <c r="B62" s="114"/>
      <c r="C62" s="114"/>
      <c r="D62" s="115"/>
      <c r="E62" s="104"/>
      <c r="F62" s="117"/>
      <c r="G62" s="117"/>
      <c r="H62" s="117"/>
      <c r="I62" s="117"/>
      <c r="J62" s="117"/>
      <c r="K62" s="110"/>
      <c r="L62" s="110"/>
      <c r="M62" s="110"/>
      <c r="N62" s="110"/>
      <c r="O62" s="117"/>
      <c r="P62" s="119">
        <f>LEN(D62)-SUM((LEN(D62)-LEN(SUBSTITUTE(D62,修饰列表!$B$2:$B$80,修饰列表!$D$2:$D$80))))</f>
        <v>0</v>
      </c>
      <c r="Q62" s="120">
        <f t="shared" si="0"/>
        <v>0</v>
      </c>
    </row>
    <row r="63" spans="1:17" x14ac:dyDescent="0.25">
      <c r="A63" s="113"/>
      <c r="B63" s="114"/>
      <c r="C63" s="114"/>
      <c r="D63" s="115"/>
      <c r="E63" s="104"/>
      <c r="F63" s="117"/>
      <c r="G63" s="117"/>
      <c r="H63" s="117"/>
      <c r="I63" s="117"/>
      <c r="J63" s="117"/>
      <c r="K63" s="110"/>
      <c r="L63" s="110"/>
      <c r="M63" s="110"/>
      <c r="N63" s="110"/>
      <c r="O63" s="117"/>
      <c r="P63" s="119">
        <f>LEN(D63)-SUM((LEN(D63)-LEN(SUBSTITUTE(D63,修饰列表!$B$2:$B$80,修饰列表!$D$2:$D$80))))</f>
        <v>0</v>
      </c>
      <c r="Q63" s="120">
        <f t="shared" si="0"/>
        <v>0</v>
      </c>
    </row>
    <row r="64" spans="1:17" x14ac:dyDescent="0.25">
      <c r="A64" s="113"/>
      <c r="B64" s="114"/>
      <c r="C64" s="114"/>
      <c r="D64" s="115"/>
      <c r="E64" s="104"/>
      <c r="F64" s="117"/>
      <c r="G64" s="117"/>
      <c r="H64" s="117"/>
      <c r="I64" s="117"/>
      <c r="J64" s="117"/>
      <c r="K64" s="110"/>
      <c r="L64" s="110"/>
      <c r="M64" s="110"/>
      <c r="N64" s="110"/>
      <c r="O64" s="117"/>
      <c r="P64" s="119">
        <f>LEN(D64)-SUM((LEN(D64)-LEN(SUBSTITUTE(D64,修饰列表!$B$2:$B$80,修饰列表!$D$2:$D$80))))</f>
        <v>0</v>
      </c>
      <c r="Q64" s="120">
        <f t="shared" si="0"/>
        <v>0</v>
      </c>
    </row>
    <row r="65" spans="1:17" x14ac:dyDescent="0.25">
      <c r="A65" s="113"/>
      <c r="B65" s="114"/>
      <c r="C65" s="114"/>
      <c r="D65" s="115"/>
      <c r="E65" s="104"/>
      <c r="F65" s="117"/>
      <c r="G65" s="117"/>
      <c r="H65" s="117"/>
      <c r="I65" s="117"/>
      <c r="J65" s="117"/>
      <c r="K65" s="110"/>
      <c r="L65" s="110"/>
      <c r="M65" s="110"/>
      <c r="N65" s="110"/>
      <c r="O65" s="117"/>
      <c r="P65" s="119">
        <f>LEN(D65)-SUM((LEN(D65)-LEN(SUBSTITUTE(D65,修饰列表!$B$2:$B$80,修饰列表!$D$2:$D$80))))</f>
        <v>0</v>
      </c>
      <c r="Q65" s="120">
        <f t="shared" si="0"/>
        <v>0</v>
      </c>
    </row>
    <row r="66" spans="1:17" x14ac:dyDescent="0.25">
      <c r="A66" s="113"/>
      <c r="B66" s="114"/>
      <c r="C66" s="114"/>
      <c r="D66" s="115"/>
      <c r="E66" s="104"/>
      <c r="F66" s="117"/>
      <c r="G66" s="117"/>
      <c r="H66" s="117"/>
      <c r="I66" s="117"/>
      <c r="J66" s="117"/>
      <c r="K66" s="110"/>
      <c r="L66" s="110"/>
      <c r="M66" s="110"/>
      <c r="N66" s="110"/>
      <c r="O66" s="117"/>
      <c r="P66" s="119">
        <f>LEN(D66)-SUM((LEN(D66)-LEN(SUBSTITUTE(D66,修饰列表!$B$2:$B$80,修饰列表!$D$2:$D$80))))</f>
        <v>0</v>
      </c>
      <c r="Q66" s="120">
        <f t="shared" si="0"/>
        <v>0</v>
      </c>
    </row>
    <row r="67" spans="1:17" x14ac:dyDescent="0.25">
      <c r="A67" s="113"/>
      <c r="B67" s="114"/>
      <c r="C67" s="114"/>
      <c r="D67" s="115"/>
      <c r="E67" s="104"/>
      <c r="F67" s="117"/>
      <c r="G67" s="117"/>
      <c r="H67" s="117"/>
      <c r="I67" s="117"/>
      <c r="J67" s="117"/>
      <c r="K67" s="110"/>
      <c r="L67" s="110"/>
      <c r="M67" s="110"/>
      <c r="N67" s="110"/>
      <c r="O67" s="117"/>
      <c r="P67" s="119">
        <f>LEN(D67)-SUM((LEN(D67)-LEN(SUBSTITUTE(D67,修饰列表!$B$2:$B$80,修饰列表!$D$2:$D$80))))</f>
        <v>0</v>
      </c>
      <c r="Q67" s="120">
        <f t="shared" si="0"/>
        <v>0</v>
      </c>
    </row>
    <row r="68" spans="1:17" x14ac:dyDescent="0.25">
      <c r="A68" s="113"/>
      <c r="B68" s="114"/>
      <c r="C68" s="114"/>
      <c r="D68" s="115"/>
      <c r="E68" s="104"/>
      <c r="F68" s="117"/>
      <c r="G68" s="117"/>
      <c r="H68" s="117"/>
      <c r="I68" s="117"/>
      <c r="J68" s="117"/>
      <c r="K68" s="110"/>
      <c r="L68" s="110"/>
      <c r="M68" s="110"/>
      <c r="N68" s="110"/>
      <c r="O68" s="117"/>
      <c r="P68" s="119">
        <f>LEN(D68)-SUM((LEN(D68)-LEN(SUBSTITUTE(D68,修饰列表!$B$2:$B$80,修饰列表!$D$2:$D$80))))</f>
        <v>0</v>
      </c>
      <c r="Q68" s="120">
        <f t="shared" si="0"/>
        <v>0</v>
      </c>
    </row>
    <row r="69" spans="1:17" x14ac:dyDescent="0.25">
      <c r="A69" s="113"/>
      <c r="B69" s="114"/>
      <c r="C69" s="114"/>
      <c r="D69" s="115"/>
      <c r="E69" s="104"/>
      <c r="F69" s="117"/>
      <c r="G69" s="117"/>
      <c r="H69" s="117"/>
      <c r="I69" s="117"/>
      <c r="J69" s="117"/>
      <c r="K69" s="110"/>
      <c r="L69" s="110"/>
      <c r="M69" s="110"/>
      <c r="N69" s="110"/>
      <c r="O69" s="117"/>
      <c r="P69" s="119">
        <f>LEN(D69)-SUM((LEN(D69)-LEN(SUBSTITUTE(D69,修饰列表!$B$2:$B$80,修饰列表!$D$2:$D$80))))</f>
        <v>0</v>
      </c>
      <c r="Q69" s="120">
        <f t="shared" si="0"/>
        <v>0</v>
      </c>
    </row>
    <row r="70" spans="1:17" x14ac:dyDescent="0.25">
      <c r="A70" s="113"/>
      <c r="B70" s="114"/>
      <c r="C70" s="114"/>
      <c r="D70" s="115"/>
      <c r="E70" s="104"/>
      <c r="F70" s="117"/>
      <c r="G70" s="117"/>
      <c r="H70" s="117"/>
      <c r="I70" s="117"/>
      <c r="J70" s="117"/>
      <c r="K70" s="110"/>
      <c r="L70" s="110"/>
      <c r="M70" s="110"/>
      <c r="N70" s="110"/>
      <c r="O70" s="117"/>
      <c r="P70" s="119">
        <f>LEN(D70)-SUM((LEN(D70)-LEN(SUBSTITUTE(D70,修饰列表!$B$2:$B$80,修饰列表!$D$2:$D$80))))</f>
        <v>0</v>
      </c>
      <c r="Q70" s="120">
        <f t="shared" si="0"/>
        <v>0</v>
      </c>
    </row>
    <row r="71" spans="1:17" x14ac:dyDescent="0.25">
      <c r="A71" s="113"/>
      <c r="B71" s="114"/>
      <c r="C71" s="114"/>
      <c r="D71" s="115"/>
      <c r="E71" s="104"/>
      <c r="F71" s="117"/>
      <c r="G71" s="117"/>
      <c r="H71" s="117"/>
      <c r="I71" s="117"/>
      <c r="J71" s="117"/>
      <c r="K71" s="110"/>
      <c r="L71" s="110"/>
      <c r="M71" s="110"/>
      <c r="N71" s="110"/>
      <c r="O71" s="117"/>
      <c r="P71" s="119">
        <f>LEN(D71)-SUM((LEN(D71)-LEN(SUBSTITUTE(D71,修饰列表!$B$2:$B$80,修饰列表!$D$2:$D$80))))</f>
        <v>0</v>
      </c>
      <c r="Q71" s="120">
        <f t="shared" si="0"/>
        <v>0</v>
      </c>
    </row>
    <row r="72" spans="1:17" x14ac:dyDescent="0.25">
      <c r="A72" s="113"/>
      <c r="B72" s="114"/>
      <c r="C72" s="114"/>
      <c r="D72" s="115"/>
      <c r="E72" s="104"/>
      <c r="F72" s="117"/>
      <c r="G72" s="117"/>
      <c r="H72" s="117"/>
      <c r="I72" s="117"/>
      <c r="J72" s="117"/>
      <c r="K72" s="110"/>
      <c r="L72" s="110"/>
      <c r="M72" s="110"/>
      <c r="N72" s="110"/>
      <c r="O72" s="117"/>
      <c r="P72" s="119">
        <f>LEN(D72)-SUM((LEN(D72)-LEN(SUBSTITUTE(D72,修饰列表!$B$2:$B$80,修饰列表!$D$2:$D$80))))</f>
        <v>0</v>
      </c>
      <c r="Q72" s="120">
        <f t="shared" si="0"/>
        <v>0</v>
      </c>
    </row>
    <row r="73" spans="1:17" x14ac:dyDescent="0.25">
      <c r="A73" s="113"/>
      <c r="B73" s="114"/>
      <c r="C73" s="114"/>
      <c r="D73" s="115"/>
      <c r="E73" s="104"/>
      <c r="F73" s="117"/>
      <c r="G73" s="117"/>
      <c r="H73" s="117"/>
      <c r="I73" s="117"/>
      <c r="J73" s="117"/>
      <c r="K73" s="110"/>
      <c r="L73" s="110"/>
      <c r="M73" s="110"/>
      <c r="N73" s="110"/>
      <c r="O73" s="117"/>
      <c r="P73" s="119">
        <f>LEN(D73)-SUM((LEN(D73)-LEN(SUBSTITUTE(D73,修饰列表!$B$2:$B$80,修饰列表!$D$2:$D$80))))</f>
        <v>0</v>
      </c>
      <c r="Q73" s="120">
        <f t="shared" si="0"/>
        <v>0</v>
      </c>
    </row>
    <row r="74" spans="1:17" x14ac:dyDescent="0.25">
      <c r="A74" s="113"/>
      <c r="B74" s="114"/>
      <c r="C74" s="114"/>
      <c r="D74" s="115"/>
      <c r="E74" s="104"/>
      <c r="F74" s="117"/>
      <c r="G74" s="117"/>
      <c r="H74" s="117"/>
      <c r="I74" s="117"/>
      <c r="J74" s="117"/>
      <c r="K74" s="110"/>
      <c r="L74" s="110"/>
      <c r="M74" s="110"/>
      <c r="N74" s="110"/>
      <c r="O74" s="117"/>
      <c r="P74" s="119">
        <f>LEN(D74)-SUM((LEN(D74)-LEN(SUBSTITUTE(D74,修饰列表!$B$2:$B$80,修饰列表!$D$2:$D$80))))</f>
        <v>0</v>
      </c>
      <c r="Q74" s="120">
        <f t="shared" si="0"/>
        <v>0</v>
      </c>
    </row>
    <row r="75" spans="1:17" x14ac:dyDescent="0.25">
      <c r="A75" s="113"/>
      <c r="B75" s="114"/>
      <c r="C75" s="114"/>
      <c r="D75" s="115"/>
      <c r="E75" s="104"/>
      <c r="F75" s="117"/>
      <c r="G75" s="117"/>
      <c r="H75" s="117"/>
      <c r="I75" s="117"/>
      <c r="J75" s="117"/>
      <c r="K75" s="110"/>
      <c r="L75" s="110"/>
      <c r="M75" s="110"/>
      <c r="N75" s="110"/>
      <c r="O75" s="117"/>
      <c r="P75" s="119">
        <f>LEN(D75)-SUM((LEN(D75)-LEN(SUBSTITUTE(D75,修饰列表!$B$2:$B$80,修饰列表!$D$2:$D$80))))</f>
        <v>0</v>
      </c>
      <c r="Q75" s="120">
        <f t="shared" si="0"/>
        <v>0</v>
      </c>
    </row>
    <row r="76" spans="1:17" x14ac:dyDescent="0.25">
      <c r="A76" s="113"/>
      <c r="B76" s="114"/>
      <c r="C76" s="114"/>
      <c r="D76" s="115"/>
      <c r="E76" s="104"/>
      <c r="F76" s="117"/>
      <c r="G76" s="117"/>
      <c r="H76" s="117"/>
      <c r="I76" s="117"/>
      <c r="J76" s="117"/>
      <c r="K76" s="110"/>
      <c r="L76" s="110"/>
      <c r="M76" s="110"/>
      <c r="N76" s="110"/>
      <c r="O76" s="117"/>
      <c r="P76" s="119">
        <f>LEN(D76)-SUM((LEN(D76)-LEN(SUBSTITUTE(D76,修饰列表!$B$2:$B$80,修饰列表!$D$2:$D$80))))</f>
        <v>0</v>
      </c>
      <c r="Q76" s="120">
        <f t="shared" si="0"/>
        <v>0</v>
      </c>
    </row>
    <row r="77" spans="1:17" x14ac:dyDescent="0.25">
      <c r="A77" s="113"/>
      <c r="B77" s="114"/>
      <c r="C77" s="114"/>
      <c r="D77" s="115"/>
      <c r="E77" s="104"/>
      <c r="F77" s="117"/>
      <c r="G77" s="117"/>
      <c r="H77" s="117"/>
      <c r="I77" s="117"/>
      <c r="J77" s="117"/>
      <c r="K77" s="110"/>
      <c r="L77" s="110"/>
      <c r="M77" s="110"/>
      <c r="N77" s="110"/>
      <c r="O77" s="117"/>
      <c r="P77" s="119">
        <f>LEN(D77)-SUM((LEN(D77)-LEN(SUBSTITUTE(D77,修饰列表!$B$2:$B$80,修饰列表!$D$2:$D$80))))</f>
        <v>0</v>
      </c>
      <c r="Q77" s="120">
        <f t="shared" si="0"/>
        <v>0</v>
      </c>
    </row>
    <row r="78" spans="1:17" x14ac:dyDescent="0.25">
      <c r="A78" s="113"/>
      <c r="B78" s="114"/>
      <c r="C78" s="114"/>
      <c r="D78" s="115"/>
      <c r="E78" s="104"/>
      <c r="F78" s="117"/>
      <c r="G78" s="117"/>
      <c r="H78" s="117"/>
      <c r="I78" s="117"/>
      <c r="J78" s="117"/>
      <c r="K78" s="110"/>
      <c r="L78" s="110"/>
      <c r="M78" s="110"/>
      <c r="N78" s="110"/>
      <c r="O78" s="117"/>
      <c r="P78" s="119">
        <f>LEN(D78)-SUM((LEN(D78)-LEN(SUBSTITUTE(D78,修饰列表!$B$2:$B$80,修饰列表!$D$2:$D$80))))</f>
        <v>0</v>
      </c>
      <c r="Q78" s="120">
        <f t="shared" si="0"/>
        <v>0</v>
      </c>
    </row>
    <row r="79" spans="1:17" x14ac:dyDescent="0.25">
      <c r="A79" s="113"/>
      <c r="B79" s="114"/>
      <c r="C79" s="114"/>
      <c r="D79" s="115"/>
      <c r="E79" s="104"/>
      <c r="F79" s="117"/>
      <c r="G79" s="117"/>
      <c r="H79" s="117"/>
      <c r="I79" s="117"/>
      <c r="J79" s="117"/>
      <c r="K79" s="110"/>
      <c r="L79" s="110"/>
      <c r="M79" s="110"/>
      <c r="N79" s="110"/>
      <c r="O79" s="117"/>
      <c r="P79" s="119">
        <f>LEN(D79)-SUM((LEN(D79)-LEN(SUBSTITUTE(D79,修饰列表!$B$2:$B$80,修饰列表!$D$2:$D$80))))</f>
        <v>0</v>
      </c>
      <c r="Q79" s="120">
        <f t="shared" si="0"/>
        <v>0</v>
      </c>
    </row>
    <row r="80" spans="1:17" x14ac:dyDescent="0.25">
      <c r="A80" s="113"/>
      <c r="B80" s="114"/>
      <c r="C80" s="114"/>
      <c r="D80" s="115"/>
      <c r="E80" s="104"/>
      <c r="F80" s="117"/>
      <c r="G80" s="117"/>
      <c r="H80" s="117"/>
      <c r="I80" s="117"/>
      <c r="J80" s="117"/>
      <c r="K80" s="110"/>
      <c r="L80" s="110"/>
      <c r="M80" s="110"/>
      <c r="N80" s="110"/>
      <c r="O80" s="117"/>
      <c r="P80" s="119">
        <f>LEN(D80)-SUM((LEN(D80)-LEN(SUBSTITUTE(D80,修饰列表!$B$2:$B$80,修饰列表!$D$2:$D$80))))</f>
        <v>0</v>
      </c>
      <c r="Q80" s="120">
        <f t="shared" si="0"/>
        <v>0</v>
      </c>
    </row>
    <row r="81" spans="1:17" x14ac:dyDescent="0.25">
      <c r="A81" s="113"/>
      <c r="B81" s="114"/>
      <c r="C81" s="114"/>
      <c r="D81" s="115"/>
      <c r="E81" s="104"/>
      <c r="F81" s="117"/>
      <c r="G81" s="117"/>
      <c r="H81" s="117"/>
      <c r="I81" s="117"/>
      <c r="J81" s="117"/>
      <c r="K81" s="110"/>
      <c r="L81" s="110"/>
      <c r="M81" s="110"/>
      <c r="N81" s="110"/>
      <c r="O81" s="117"/>
      <c r="P81" s="119">
        <f t="array" ref="P81">LEN(D81)-SUM((LEN(D81)-LEN(SUBSTITUTE(D81,修饰列表!$B$2:$B$80,修饰列表!$D$2:$D$80))))</f>
        <v>0</v>
      </c>
      <c r="Q81" s="120">
        <f t="shared" si="0"/>
        <v>0</v>
      </c>
    </row>
    <row r="82" spans="1:17" x14ac:dyDescent="0.25">
      <c r="A82" s="113"/>
      <c r="B82" s="114"/>
      <c r="C82" s="114"/>
      <c r="D82" s="115"/>
      <c r="E82" s="104"/>
      <c r="F82" s="117"/>
      <c r="G82" s="117"/>
      <c r="H82" s="117"/>
      <c r="I82" s="117"/>
      <c r="J82" s="117"/>
      <c r="K82" s="110"/>
      <c r="L82" s="110"/>
      <c r="M82" s="110"/>
      <c r="N82" s="110"/>
      <c r="O82" s="117"/>
      <c r="P82" s="119">
        <f t="array" ref="P82">LEN(D82)-SUM((LEN(D82)-LEN(SUBSTITUTE(D82,修饰列表!$B$2:$B$80,修饰列表!$D$2:$D$80))))</f>
        <v>0</v>
      </c>
      <c r="Q82" s="120">
        <f t="shared" si="0"/>
        <v>0</v>
      </c>
    </row>
    <row r="83" spans="1:17" x14ac:dyDescent="0.25">
      <c r="A83" s="113"/>
      <c r="B83" s="114"/>
      <c r="C83" s="114"/>
      <c r="D83" s="115"/>
      <c r="E83" s="104"/>
      <c r="F83" s="117"/>
      <c r="G83" s="117"/>
      <c r="H83" s="117"/>
      <c r="I83" s="117"/>
      <c r="J83" s="117"/>
      <c r="K83" s="110"/>
      <c r="L83" s="110"/>
      <c r="M83" s="110"/>
      <c r="N83" s="110"/>
      <c r="O83" s="117"/>
      <c r="P83" s="119">
        <f t="array" ref="P83">LEN(D83)-SUM((LEN(D83)-LEN(SUBSTITUTE(D83,修饰列表!$B$2:$B$80,修饰列表!$D$2:$D$80))))</f>
        <v>0</v>
      </c>
      <c r="Q83" s="120">
        <f t="shared" si="0"/>
        <v>0</v>
      </c>
    </row>
    <row r="84" spans="1:17" x14ac:dyDescent="0.25">
      <c r="A84" s="113"/>
      <c r="B84" s="114"/>
      <c r="C84" s="114"/>
      <c r="D84" s="115"/>
      <c r="E84" s="104"/>
      <c r="F84" s="117"/>
      <c r="G84" s="117"/>
      <c r="H84" s="117"/>
      <c r="I84" s="117"/>
      <c r="J84" s="117"/>
      <c r="K84" s="110"/>
      <c r="L84" s="110"/>
      <c r="M84" s="110"/>
      <c r="N84" s="110"/>
      <c r="O84" s="117"/>
      <c r="P84" s="119">
        <f t="array" ref="P84">LEN(D84)-SUM((LEN(D84)-LEN(SUBSTITUTE(D84,修饰列表!$B$2:$B$80,修饰列表!$D$2:$D$80))))</f>
        <v>0</v>
      </c>
      <c r="Q84" s="120">
        <f t="shared" si="0"/>
        <v>0</v>
      </c>
    </row>
    <row r="85" spans="1:17" x14ac:dyDescent="0.25">
      <c r="A85" s="113"/>
      <c r="B85" s="114"/>
      <c r="C85" s="114"/>
      <c r="D85" s="115"/>
      <c r="E85" s="104"/>
      <c r="F85" s="117"/>
      <c r="G85" s="117"/>
      <c r="H85" s="117"/>
      <c r="I85" s="117"/>
      <c r="J85" s="117"/>
      <c r="K85" s="110"/>
      <c r="L85" s="110"/>
      <c r="M85" s="110"/>
      <c r="N85" s="110"/>
      <c r="O85" s="117"/>
      <c r="P85" s="119">
        <f t="array" ref="P85">LEN(D85)-SUM((LEN(D85)-LEN(SUBSTITUTE(D85,修饰列表!$B$2:$B$80,修饰列表!$D$2:$D$80))))</f>
        <v>0</v>
      </c>
      <c r="Q85" s="120">
        <f t="shared" ref="Q85:Q148" si="1">IF(I85="",H85*J85,H85*I85)</f>
        <v>0</v>
      </c>
    </row>
    <row r="86" spans="1:17" x14ac:dyDescent="0.25">
      <c r="A86" s="113"/>
      <c r="B86" s="114"/>
      <c r="C86" s="114"/>
      <c r="D86" s="115"/>
      <c r="E86" s="104"/>
      <c r="F86" s="117"/>
      <c r="G86" s="117"/>
      <c r="H86" s="117"/>
      <c r="I86" s="117"/>
      <c r="J86" s="117"/>
      <c r="K86" s="110"/>
      <c r="L86" s="110"/>
      <c r="M86" s="110"/>
      <c r="N86" s="110"/>
      <c r="O86" s="117"/>
      <c r="P86" s="119">
        <f t="array" ref="P86">LEN(D86)-SUM((LEN(D86)-LEN(SUBSTITUTE(D86,修饰列表!$B$2:$B$80,修饰列表!$D$2:$D$80))))</f>
        <v>0</v>
      </c>
      <c r="Q86" s="120">
        <f t="shared" si="1"/>
        <v>0</v>
      </c>
    </row>
    <row r="87" spans="1:17" x14ac:dyDescent="0.25">
      <c r="A87" s="113"/>
      <c r="B87" s="114"/>
      <c r="C87" s="114"/>
      <c r="D87" s="115"/>
      <c r="E87" s="104"/>
      <c r="F87" s="117"/>
      <c r="G87" s="117"/>
      <c r="H87" s="117"/>
      <c r="I87" s="117"/>
      <c r="J87" s="117"/>
      <c r="K87" s="110"/>
      <c r="L87" s="110"/>
      <c r="M87" s="110"/>
      <c r="N87" s="110"/>
      <c r="O87" s="117"/>
      <c r="P87" s="119">
        <f t="array" ref="P87">LEN(D87)-SUM((LEN(D87)-LEN(SUBSTITUTE(D87,修饰列表!$B$2:$B$80,修饰列表!$D$2:$D$80))))</f>
        <v>0</v>
      </c>
      <c r="Q87" s="120">
        <f t="shared" si="1"/>
        <v>0</v>
      </c>
    </row>
    <row r="88" spans="1:17" x14ac:dyDescent="0.25">
      <c r="A88" s="113"/>
      <c r="B88" s="114"/>
      <c r="C88" s="114"/>
      <c r="D88" s="115"/>
      <c r="E88" s="104"/>
      <c r="F88" s="117"/>
      <c r="G88" s="117"/>
      <c r="H88" s="117"/>
      <c r="I88" s="117"/>
      <c r="J88" s="117"/>
      <c r="K88" s="110"/>
      <c r="L88" s="110"/>
      <c r="M88" s="110"/>
      <c r="N88" s="110"/>
      <c r="O88" s="117"/>
      <c r="P88" s="119">
        <f t="array" ref="P88">LEN(D88)-SUM((LEN(D88)-LEN(SUBSTITUTE(D88,修饰列表!$B$2:$B$80,修饰列表!$D$2:$D$80))))</f>
        <v>0</v>
      </c>
      <c r="Q88" s="120">
        <f t="shared" si="1"/>
        <v>0</v>
      </c>
    </row>
    <row r="89" spans="1:17" x14ac:dyDescent="0.25">
      <c r="A89" s="113"/>
      <c r="B89" s="114"/>
      <c r="C89" s="114"/>
      <c r="D89" s="115"/>
      <c r="E89" s="104"/>
      <c r="F89" s="117"/>
      <c r="G89" s="117"/>
      <c r="H89" s="117"/>
      <c r="I89" s="117"/>
      <c r="J89" s="117"/>
      <c r="K89" s="110"/>
      <c r="L89" s="110"/>
      <c r="M89" s="110"/>
      <c r="N89" s="110"/>
      <c r="O89" s="117"/>
      <c r="P89" s="119">
        <f t="array" ref="P89">LEN(D89)-SUM((LEN(D89)-LEN(SUBSTITUTE(D89,修饰列表!$B$2:$B$80,修饰列表!$D$2:$D$80))))</f>
        <v>0</v>
      </c>
      <c r="Q89" s="120">
        <f t="shared" si="1"/>
        <v>0</v>
      </c>
    </row>
    <row r="90" spans="1:17" x14ac:dyDescent="0.25">
      <c r="A90" s="113"/>
      <c r="B90" s="114"/>
      <c r="C90" s="114"/>
      <c r="D90" s="115"/>
      <c r="E90" s="104"/>
      <c r="F90" s="117"/>
      <c r="G90" s="117"/>
      <c r="H90" s="117"/>
      <c r="I90" s="117"/>
      <c r="J90" s="117"/>
      <c r="K90" s="110"/>
      <c r="L90" s="110"/>
      <c r="M90" s="110"/>
      <c r="N90" s="110"/>
      <c r="O90" s="117"/>
      <c r="P90" s="119">
        <f t="array" ref="P90">LEN(D90)-SUM((LEN(D90)-LEN(SUBSTITUTE(D90,修饰列表!$B$2:$B$80,修饰列表!$D$2:$D$80))))</f>
        <v>0</v>
      </c>
      <c r="Q90" s="120">
        <f t="shared" si="1"/>
        <v>0</v>
      </c>
    </row>
    <row r="91" spans="1:17" x14ac:dyDescent="0.25">
      <c r="A91" s="113"/>
      <c r="B91" s="114"/>
      <c r="C91" s="114"/>
      <c r="D91" s="115"/>
      <c r="E91" s="104"/>
      <c r="F91" s="117"/>
      <c r="G91" s="117"/>
      <c r="H91" s="117"/>
      <c r="I91" s="117"/>
      <c r="J91" s="117"/>
      <c r="K91" s="110"/>
      <c r="L91" s="110"/>
      <c r="M91" s="110"/>
      <c r="N91" s="110"/>
      <c r="O91" s="117"/>
      <c r="P91" s="119">
        <f t="array" ref="P91">LEN(D91)-SUM((LEN(D91)-LEN(SUBSTITUTE(D91,修饰列表!$B$2:$B$80,修饰列表!$D$2:$D$80))))</f>
        <v>0</v>
      </c>
      <c r="Q91" s="120">
        <f t="shared" si="1"/>
        <v>0</v>
      </c>
    </row>
    <row r="92" spans="1:17" x14ac:dyDescent="0.25">
      <c r="A92" s="113"/>
      <c r="B92" s="114"/>
      <c r="C92" s="114"/>
      <c r="D92" s="115"/>
      <c r="E92" s="104"/>
      <c r="F92" s="117"/>
      <c r="G92" s="117"/>
      <c r="H92" s="117"/>
      <c r="I92" s="117"/>
      <c r="J92" s="117"/>
      <c r="K92" s="110"/>
      <c r="L92" s="110"/>
      <c r="M92" s="110"/>
      <c r="N92" s="110"/>
      <c r="O92" s="117"/>
      <c r="P92" s="119">
        <f t="array" ref="P92">LEN(D92)-SUM((LEN(D92)-LEN(SUBSTITUTE(D92,修饰列表!$B$2:$B$80,修饰列表!$D$2:$D$80))))</f>
        <v>0</v>
      </c>
      <c r="Q92" s="120">
        <f t="shared" si="1"/>
        <v>0</v>
      </c>
    </row>
    <row r="93" spans="1:17" x14ac:dyDescent="0.25">
      <c r="A93" s="113"/>
      <c r="B93" s="114"/>
      <c r="C93" s="114"/>
      <c r="D93" s="115"/>
      <c r="E93" s="104"/>
      <c r="F93" s="117"/>
      <c r="G93" s="117"/>
      <c r="H93" s="117"/>
      <c r="I93" s="117"/>
      <c r="J93" s="117"/>
      <c r="K93" s="110"/>
      <c r="L93" s="110"/>
      <c r="M93" s="110"/>
      <c r="N93" s="110"/>
      <c r="O93" s="117"/>
      <c r="P93" s="119">
        <f t="array" ref="P93">LEN(D93)-SUM((LEN(D93)-LEN(SUBSTITUTE(D93,修饰列表!$B$2:$B$80,修饰列表!$D$2:$D$80))))</f>
        <v>0</v>
      </c>
      <c r="Q93" s="120">
        <f t="shared" si="1"/>
        <v>0</v>
      </c>
    </row>
    <row r="94" spans="1:17" x14ac:dyDescent="0.25">
      <c r="A94" s="113"/>
      <c r="B94" s="114"/>
      <c r="C94" s="114"/>
      <c r="D94" s="115"/>
      <c r="E94" s="104"/>
      <c r="F94" s="117"/>
      <c r="G94" s="117"/>
      <c r="H94" s="117"/>
      <c r="I94" s="117"/>
      <c r="J94" s="117"/>
      <c r="K94" s="110"/>
      <c r="L94" s="110"/>
      <c r="M94" s="110"/>
      <c r="N94" s="110"/>
      <c r="O94" s="117"/>
      <c r="P94" s="119">
        <f t="array" ref="P94">LEN(D94)-SUM((LEN(D94)-LEN(SUBSTITUTE(D94,修饰列表!$B$2:$B$80,修饰列表!$D$2:$D$80))))</f>
        <v>0</v>
      </c>
      <c r="Q94" s="120">
        <f t="shared" si="1"/>
        <v>0</v>
      </c>
    </row>
    <row r="95" spans="1:17" x14ac:dyDescent="0.25">
      <c r="A95" s="113"/>
      <c r="B95" s="114"/>
      <c r="C95" s="114"/>
      <c r="D95" s="115"/>
      <c r="E95" s="104"/>
      <c r="F95" s="117"/>
      <c r="G95" s="117"/>
      <c r="H95" s="117"/>
      <c r="I95" s="117"/>
      <c r="J95" s="117"/>
      <c r="K95" s="110"/>
      <c r="L95" s="110"/>
      <c r="M95" s="110"/>
      <c r="N95" s="110"/>
      <c r="O95" s="117"/>
      <c r="P95" s="119">
        <f t="array" ref="P95">LEN(D95)-SUM((LEN(D95)-LEN(SUBSTITUTE(D95,修饰列表!$B$2:$B$80,修饰列表!$D$2:$D$80))))</f>
        <v>0</v>
      </c>
      <c r="Q95" s="120">
        <f t="shared" si="1"/>
        <v>0</v>
      </c>
    </row>
    <row r="96" spans="1:17" x14ac:dyDescent="0.25">
      <c r="A96" s="113"/>
      <c r="B96" s="114"/>
      <c r="C96" s="114"/>
      <c r="D96" s="115"/>
      <c r="E96" s="104"/>
      <c r="F96" s="117"/>
      <c r="G96" s="117"/>
      <c r="H96" s="117"/>
      <c r="I96" s="117"/>
      <c r="J96" s="117"/>
      <c r="K96" s="110"/>
      <c r="L96" s="110"/>
      <c r="M96" s="110"/>
      <c r="N96" s="110"/>
      <c r="O96" s="117"/>
      <c r="P96" s="119">
        <f t="array" ref="P96">LEN(D96)-SUM((LEN(D96)-LEN(SUBSTITUTE(D96,修饰列表!$B$2:$B$80,修饰列表!$D$2:$D$80))))</f>
        <v>0</v>
      </c>
      <c r="Q96" s="120">
        <f t="shared" si="1"/>
        <v>0</v>
      </c>
    </row>
    <row r="97" spans="1:17" x14ac:dyDescent="0.25">
      <c r="A97" s="113"/>
      <c r="B97" s="114"/>
      <c r="C97" s="114"/>
      <c r="D97" s="115"/>
      <c r="E97" s="104"/>
      <c r="F97" s="117"/>
      <c r="G97" s="117"/>
      <c r="H97" s="117"/>
      <c r="I97" s="117"/>
      <c r="J97" s="117"/>
      <c r="K97" s="110"/>
      <c r="L97" s="110"/>
      <c r="M97" s="110"/>
      <c r="N97" s="110"/>
      <c r="O97" s="117"/>
      <c r="P97" s="119">
        <f t="array" ref="P97">LEN(D97)-SUM((LEN(D97)-LEN(SUBSTITUTE(D97,修饰列表!$B$2:$B$80,修饰列表!$D$2:$D$80))))</f>
        <v>0</v>
      </c>
      <c r="Q97" s="120">
        <f t="shared" si="1"/>
        <v>0</v>
      </c>
    </row>
    <row r="98" spans="1:17" x14ac:dyDescent="0.25">
      <c r="A98" s="113"/>
      <c r="B98" s="114"/>
      <c r="C98" s="114"/>
      <c r="D98" s="115"/>
      <c r="E98" s="104"/>
      <c r="F98" s="117"/>
      <c r="G98" s="117"/>
      <c r="H98" s="117"/>
      <c r="I98" s="117"/>
      <c r="J98" s="117"/>
      <c r="K98" s="110"/>
      <c r="L98" s="110"/>
      <c r="M98" s="110"/>
      <c r="N98" s="110"/>
      <c r="O98" s="117"/>
      <c r="P98" s="119">
        <f t="array" ref="P98">LEN(D98)-SUM((LEN(D98)-LEN(SUBSTITUTE(D98,修饰列表!$B$2:$B$80,修饰列表!$D$2:$D$80))))</f>
        <v>0</v>
      </c>
      <c r="Q98" s="120">
        <f t="shared" si="1"/>
        <v>0</v>
      </c>
    </row>
    <row r="99" spans="1:17" x14ac:dyDescent="0.25">
      <c r="A99" s="113"/>
      <c r="B99" s="114"/>
      <c r="C99" s="114"/>
      <c r="D99" s="115"/>
      <c r="E99" s="104"/>
      <c r="F99" s="117"/>
      <c r="G99" s="117"/>
      <c r="H99" s="117"/>
      <c r="I99" s="117"/>
      <c r="J99" s="117"/>
      <c r="K99" s="110"/>
      <c r="L99" s="110"/>
      <c r="M99" s="110"/>
      <c r="N99" s="110"/>
      <c r="O99" s="117"/>
      <c r="P99" s="119">
        <f t="array" ref="P99">LEN(D99)-SUM((LEN(D99)-LEN(SUBSTITUTE(D99,修饰列表!$B$2:$B$80,修饰列表!$D$2:$D$80))))</f>
        <v>0</v>
      </c>
      <c r="Q99" s="120">
        <f t="shared" si="1"/>
        <v>0</v>
      </c>
    </row>
    <row r="100" spans="1:17" x14ac:dyDescent="0.25">
      <c r="A100" s="113"/>
      <c r="B100" s="114"/>
      <c r="C100" s="114"/>
      <c r="D100" s="115"/>
      <c r="E100" s="104"/>
      <c r="F100" s="117"/>
      <c r="G100" s="117"/>
      <c r="H100" s="117"/>
      <c r="I100" s="117"/>
      <c r="J100" s="117"/>
      <c r="K100" s="110"/>
      <c r="L100" s="110"/>
      <c r="M100" s="110"/>
      <c r="N100" s="110"/>
      <c r="O100" s="117"/>
      <c r="P100" s="119">
        <f t="array" ref="P100">LEN(D100)-SUM((LEN(D100)-LEN(SUBSTITUTE(D100,修饰列表!$B$2:$B$80,修饰列表!$D$2:$D$80))))</f>
        <v>0</v>
      </c>
      <c r="Q100" s="120">
        <f t="shared" si="1"/>
        <v>0</v>
      </c>
    </row>
    <row r="101" spans="1:17" x14ac:dyDescent="0.25">
      <c r="A101" s="113"/>
      <c r="B101" s="114"/>
      <c r="C101" s="114"/>
      <c r="D101" s="115"/>
      <c r="E101" s="104"/>
      <c r="F101" s="117"/>
      <c r="G101" s="117"/>
      <c r="H101" s="117"/>
      <c r="I101" s="117"/>
      <c r="J101" s="117"/>
      <c r="K101" s="110"/>
      <c r="L101" s="110"/>
      <c r="M101" s="110"/>
      <c r="N101" s="110"/>
      <c r="O101" s="117"/>
      <c r="P101" s="119">
        <f t="array" ref="P101">LEN(D101)-SUM((LEN(D101)-LEN(SUBSTITUTE(D101,修饰列表!$B$2:$B$80,修饰列表!$D$2:$D$80))))</f>
        <v>0</v>
      </c>
      <c r="Q101" s="120">
        <f t="shared" si="1"/>
        <v>0</v>
      </c>
    </row>
    <row r="102" spans="1:17" x14ac:dyDescent="0.25">
      <c r="A102" s="113"/>
      <c r="B102" s="114"/>
      <c r="C102" s="114"/>
      <c r="D102" s="115"/>
      <c r="E102" s="104"/>
      <c r="F102" s="117"/>
      <c r="G102" s="117"/>
      <c r="H102" s="117"/>
      <c r="I102" s="117"/>
      <c r="J102" s="117"/>
      <c r="K102" s="110"/>
      <c r="L102" s="110"/>
      <c r="M102" s="110"/>
      <c r="N102" s="110"/>
      <c r="O102" s="117"/>
      <c r="P102" s="119">
        <f t="array" ref="P102">LEN(D102)-SUM((LEN(D102)-LEN(SUBSTITUTE(D102,修饰列表!$B$2:$B$80,修饰列表!$D$2:$D$80))))</f>
        <v>0</v>
      </c>
      <c r="Q102" s="120">
        <f t="shared" si="1"/>
        <v>0</v>
      </c>
    </row>
    <row r="103" spans="1:17" x14ac:dyDescent="0.25">
      <c r="A103" s="113"/>
      <c r="B103" s="114"/>
      <c r="C103" s="114"/>
      <c r="D103" s="115"/>
      <c r="E103" s="104"/>
      <c r="F103" s="117"/>
      <c r="G103" s="117"/>
      <c r="H103" s="117"/>
      <c r="I103" s="117"/>
      <c r="J103" s="117"/>
      <c r="K103" s="110"/>
      <c r="L103" s="110"/>
      <c r="M103" s="110"/>
      <c r="N103" s="110"/>
      <c r="O103" s="117"/>
      <c r="P103" s="119">
        <f t="array" ref="P103">LEN(D103)-SUM((LEN(D103)-LEN(SUBSTITUTE(D103,修饰列表!$B$2:$B$80,修饰列表!$D$2:$D$80))))</f>
        <v>0</v>
      </c>
      <c r="Q103" s="120">
        <f t="shared" si="1"/>
        <v>0</v>
      </c>
    </row>
    <row r="104" spans="1:17" x14ac:dyDescent="0.25">
      <c r="A104" s="113"/>
      <c r="B104" s="114"/>
      <c r="C104" s="114"/>
      <c r="D104" s="115"/>
      <c r="E104" s="104"/>
      <c r="F104" s="117"/>
      <c r="G104" s="117"/>
      <c r="H104" s="117"/>
      <c r="I104" s="117"/>
      <c r="J104" s="117"/>
      <c r="K104" s="110"/>
      <c r="L104" s="110"/>
      <c r="M104" s="110"/>
      <c r="N104" s="110"/>
      <c r="O104" s="117"/>
      <c r="P104" s="119">
        <f t="array" ref="P104">LEN(D104)-SUM((LEN(D104)-LEN(SUBSTITUTE(D104,修饰列表!$B$2:$B$80,修饰列表!$D$2:$D$80))))</f>
        <v>0</v>
      </c>
      <c r="Q104" s="120">
        <f t="shared" si="1"/>
        <v>0</v>
      </c>
    </row>
    <row r="105" spans="1:17" x14ac:dyDescent="0.25">
      <c r="A105" s="113"/>
      <c r="B105" s="114"/>
      <c r="C105" s="114"/>
      <c r="D105" s="115"/>
      <c r="E105" s="104"/>
      <c r="F105" s="117"/>
      <c r="G105" s="117"/>
      <c r="H105" s="117"/>
      <c r="I105" s="117"/>
      <c r="J105" s="117"/>
      <c r="K105" s="110"/>
      <c r="L105" s="110"/>
      <c r="M105" s="110"/>
      <c r="N105" s="110"/>
      <c r="O105" s="117"/>
      <c r="P105" s="119">
        <f t="array" ref="P105">LEN(D105)-SUM((LEN(D105)-LEN(SUBSTITUTE(D105,修饰列表!$B$2:$B$80,修饰列表!$D$2:$D$80))))</f>
        <v>0</v>
      </c>
      <c r="Q105" s="120">
        <f t="shared" si="1"/>
        <v>0</v>
      </c>
    </row>
    <row r="106" spans="1:17" x14ac:dyDescent="0.25">
      <c r="A106" s="113"/>
      <c r="B106" s="114"/>
      <c r="C106" s="114"/>
      <c r="D106" s="115"/>
      <c r="E106" s="104"/>
      <c r="F106" s="117"/>
      <c r="G106" s="117"/>
      <c r="H106" s="117"/>
      <c r="I106" s="117"/>
      <c r="J106" s="117"/>
      <c r="K106" s="110"/>
      <c r="L106" s="110"/>
      <c r="M106" s="110"/>
      <c r="N106" s="110"/>
      <c r="O106" s="117"/>
      <c r="P106" s="119">
        <f t="array" ref="P106">LEN(D106)-SUM((LEN(D106)-LEN(SUBSTITUTE(D106,修饰列表!$B$2:$B$80,修饰列表!$D$2:$D$80))))</f>
        <v>0</v>
      </c>
      <c r="Q106" s="120">
        <f t="shared" si="1"/>
        <v>0</v>
      </c>
    </row>
    <row r="107" spans="1:17" x14ac:dyDescent="0.25">
      <c r="A107" s="113"/>
      <c r="B107" s="114"/>
      <c r="C107" s="114"/>
      <c r="D107" s="115"/>
      <c r="E107" s="104"/>
      <c r="F107" s="117"/>
      <c r="G107" s="117"/>
      <c r="H107" s="117"/>
      <c r="I107" s="117"/>
      <c r="J107" s="117"/>
      <c r="K107" s="110"/>
      <c r="L107" s="110"/>
      <c r="M107" s="110"/>
      <c r="N107" s="110"/>
      <c r="O107" s="117"/>
      <c r="P107" s="119">
        <f t="array" ref="P107">LEN(D107)-SUM((LEN(D107)-LEN(SUBSTITUTE(D107,修饰列表!$B$2:$B$80,修饰列表!$D$2:$D$80))))</f>
        <v>0</v>
      </c>
      <c r="Q107" s="120">
        <f t="shared" si="1"/>
        <v>0</v>
      </c>
    </row>
    <row r="108" spans="1:17" x14ac:dyDescent="0.25">
      <c r="A108" s="113"/>
      <c r="B108" s="114"/>
      <c r="C108" s="114"/>
      <c r="D108" s="115"/>
      <c r="E108" s="104"/>
      <c r="F108" s="117"/>
      <c r="G108" s="117"/>
      <c r="H108" s="117"/>
      <c r="I108" s="117"/>
      <c r="J108" s="117"/>
      <c r="K108" s="110"/>
      <c r="L108" s="110"/>
      <c r="M108" s="110"/>
      <c r="N108" s="110"/>
      <c r="O108" s="117"/>
      <c r="P108" s="119">
        <f t="array" ref="P108">LEN(D108)-SUM((LEN(D108)-LEN(SUBSTITUTE(D108,修饰列表!$B$2:$B$80,修饰列表!$D$2:$D$80))))</f>
        <v>0</v>
      </c>
      <c r="Q108" s="120">
        <f t="shared" si="1"/>
        <v>0</v>
      </c>
    </row>
    <row r="109" spans="1:17" x14ac:dyDescent="0.25">
      <c r="A109" s="113"/>
      <c r="B109" s="114"/>
      <c r="C109" s="114"/>
      <c r="D109" s="115"/>
      <c r="E109" s="104"/>
      <c r="F109" s="117"/>
      <c r="G109" s="117"/>
      <c r="H109" s="117"/>
      <c r="I109" s="117"/>
      <c r="J109" s="117"/>
      <c r="K109" s="110"/>
      <c r="L109" s="110"/>
      <c r="M109" s="110"/>
      <c r="N109" s="110"/>
      <c r="O109" s="117"/>
      <c r="P109" s="119">
        <f t="array" ref="P109">LEN(D109)-SUM((LEN(D109)-LEN(SUBSTITUTE(D109,修饰列表!$B$2:$B$80,修饰列表!$D$2:$D$80))))</f>
        <v>0</v>
      </c>
      <c r="Q109" s="120">
        <f t="shared" si="1"/>
        <v>0</v>
      </c>
    </row>
    <row r="110" spans="1:17" x14ac:dyDescent="0.25">
      <c r="A110" s="113"/>
      <c r="B110" s="114"/>
      <c r="C110" s="114"/>
      <c r="D110" s="115"/>
      <c r="E110" s="104"/>
      <c r="F110" s="117"/>
      <c r="G110" s="117"/>
      <c r="H110" s="117"/>
      <c r="I110" s="117"/>
      <c r="J110" s="117"/>
      <c r="K110" s="110"/>
      <c r="L110" s="110"/>
      <c r="M110" s="110"/>
      <c r="N110" s="110"/>
      <c r="O110" s="117"/>
      <c r="P110" s="119">
        <f t="array" ref="P110">LEN(D110)-SUM((LEN(D110)-LEN(SUBSTITUTE(D110,修饰列表!$B$2:$B$80,修饰列表!$D$2:$D$80))))</f>
        <v>0</v>
      </c>
      <c r="Q110" s="120">
        <f t="shared" si="1"/>
        <v>0</v>
      </c>
    </row>
    <row r="111" spans="1:17" x14ac:dyDescent="0.25">
      <c r="A111" s="113"/>
      <c r="B111" s="114"/>
      <c r="C111" s="114"/>
      <c r="D111" s="115"/>
      <c r="E111" s="104"/>
      <c r="F111" s="117"/>
      <c r="G111" s="117"/>
      <c r="H111" s="117"/>
      <c r="I111" s="117"/>
      <c r="J111" s="117"/>
      <c r="K111" s="110"/>
      <c r="L111" s="110"/>
      <c r="M111" s="110"/>
      <c r="N111" s="110"/>
      <c r="O111" s="117"/>
      <c r="P111" s="119">
        <f t="array" ref="P111">LEN(D111)-SUM((LEN(D111)-LEN(SUBSTITUTE(D111,修饰列表!$B$2:$B$80,修饰列表!$D$2:$D$80))))</f>
        <v>0</v>
      </c>
      <c r="Q111" s="120">
        <f t="shared" si="1"/>
        <v>0</v>
      </c>
    </row>
    <row r="112" spans="1:17" x14ac:dyDescent="0.25">
      <c r="A112" s="113"/>
      <c r="B112" s="114"/>
      <c r="C112" s="114"/>
      <c r="D112" s="115"/>
      <c r="E112" s="104"/>
      <c r="F112" s="117"/>
      <c r="G112" s="117"/>
      <c r="H112" s="117"/>
      <c r="I112" s="117"/>
      <c r="J112" s="117"/>
      <c r="K112" s="110"/>
      <c r="L112" s="110"/>
      <c r="M112" s="110"/>
      <c r="N112" s="110"/>
      <c r="O112" s="117"/>
      <c r="P112" s="119">
        <f t="array" ref="P112">LEN(D112)-SUM((LEN(D112)-LEN(SUBSTITUTE(D112,修饰列表!$B$2:$B$80,修饰列表!$D$2:$D$80))))</f>
        <v>0</v>
      </c>
      <c r="Q112" s="120">
        <f t="shared" si="1"/>
        <v>0</v>
      </c>
    </row>
    <row r="113" spans="1:17" x14ac:dyDescent="0.25">
      <c r="A113" s="113"/>
      <c r="B113" s="114"/>
      <c r="C113" s="114"/>
      <c r="D113" s="115"/>
      <c r="E113" s="104"/>
      <c r="F113" s="117"/>
      <c r="G113" s="117"/>
      <c r="H113" s="117"/>
      <c r="I113" s="117"/>
      <c r="J113" s="117"/>
      <c r="K113" s="110"/>
      <c r="L113" s="110"/>
      <c r="M113" s="110"/>
      <c r="N113" s="110"/>
      <c r="O113" s="117"/>
      <c r="P113" s="119">
        <f t="array" ref="P113">LEN(D113)-SUM((LEN(D113)-LEN(SUBSTITUTE(D113,修饰列表!$B$2:$B$80,修饰列表!$D$2:$D$80))))</f>
        <v>0</v>
      </c>
      <c r="Q113" s="120">
        <f t="shared" si="1"/>
        <v>0</v>
      </c>
    </row>
    <row r="114" spans="1:17" x14ac:dyDescent="0.25">
      <c r="A114" s="113"/>
      <c r="B114" s="114"/>
      <c r="C114" s="114"/>
      <c r="D114" s="115"/>
      <c r="E114" s="104"/>
      <c r="F114" s="117"/>
      <c r="G114" s="117"/>
      <c r="H114" s="117"/>
      <c r="I114" s="117"/>
      <c r="J114" s="117"/>
      <c r="K114" s="110"/>
      <c r="L114" s="110"/>
      <c r="M114" s="110"/>
      <c r="N114" s="110"/>
      <c r="O114" s="117"/>
      <c r="P114" s="119">
        <f t="array" ref="P114">LEN(D114)-SUM((LEN(D114)-LEN(SUBSTITUTE(D114,修饰列表!$B$2:$B$80,修饰列表!$D$2:$D$80))))</f>
        <v>0</v>
      </c>
      <c r="Q114" s="120">
        <f t="shared" si="1"/>
        <v>0</v>
      </c>
    </row>
    <row r="115" spans="1:17" x14ac:dyDescent="0.25">
      <c r="A115" s="113"/>
      <c r="B115" s="114"/>
      <c r="C115" s="114"/>
      <c r="D115" s="115"/>
      <c r="E115" s="104"/>
      <c r="F115" s="117"/>
      <c r="G115" s="117"/>
      <c r="H115" s="117"/>
      <c r="I115" s="117"/>
      <c r="J115" s="117"/>
      <c r="K115" s="110"/>
      <c r="L115" s="110"/>
      <c r="M115" s="110"/>
      <c r="N115" s="110"/>
      <c r="O115" s="117"/>
      <c r="P115" s="119">
        <f t="array" ref="P115">LEN(D115)-SUM((LEN(D115)-LEN(SUBSTITUTE(D115,修饰列表!$B$2:$B$80,修饰列表!$D$2:$D$80))))</f>
        <v>0</v>
      </c>
      <c r="Q115" s="120">
        <f t="shared" si="1"/>
        <v>0</v>
      </c>
    </row>
    <row r="116" spans="1:17" x14ac:dyDescent="0.25">
      <c r="A116" s="113"/>
      <c r="B116" s="114"/>
      <c r="C116" s="114"/>
      <c r="D116" s="115"/>
      <c r="E116" s="104"/>
      <c r="F116" s="117"/>
      <c r="G116" s="117"/>
      <c r="H116" s="117"/>
      <c r="I116" s="117"/>
      <c r="J116" s="117"/>
      <c r="K116" s="110"/>
      <c r="L116" s="110"/>
      <c r="M116" s="110"/>
      <c r="N116" s="110"/>
      <c r="O116" s="117"/>
      <c r="P116" s="119">
        <f t="array" ref="P116">LEN(D116)-SUM((LEN(D116)-LEN(SUBSTITUTE(D116,修饰列表!$B$2:$B$80,修饰列表!$D$2:$D$80))))</f>
        <v>0</v>
      </c>
      <c r="Q116" s="120">
        <f t="shared" si="1"/>
        <v>0</v>
      </c>
    </row>
    <row r="117" spans="1:17" x14ac:dyDescent="0.25">
      <c r="A117" s="113"/>
      <c r="B117" s="114"/>
      <c r="C117" s="114"/>
      <c r="D117" s="115"/>
      <c r="E117" s="104"/>
      <c r="F117" s="117"/>
      <c r="G117" s="117"/>
      <c r="H117" s="117"/>
      <c r="I117" s="117"/>
      <c r="J117" s="117"/>
      <c r="K117" s="110"/>
      <c r="L117" s="110"/>
      <c r="M117" s="110"/>
      <c r="N117" s="110"/>
      <c r="O117" s="117"/>
      <c r="P117" s="119">
        <f t="array" ref="P117">LEN(D117)-SUM((LEN(D117)-LEN(SUBSTITUTE(D117,修饰列表!$B$2:$B$80,修饰列表!$D$2:$D$80))))</f>
        <v>0</v>
      </c>
      <c r="Q117" s="120">
        <f t="shared" si="1"/>
        <v>0</v>
      </c>
    </row>
    <row r="118" spans="1:17" x14ac:dyDescent="0.25">
      <c r="A118" s="113"/>
      <c r="B118" s="114"/>
      <c r="C118" s="114"/>
      <c r="D118" s="115"/>
      <c r="E118" s="104"/>
      <c r="F118" s="117"/>
      <c r="G118" s="117"/>
      <c r="H118" s="117"/>
      <c r="I118" s="117"/>
      <c r="J118" s="117"/>
      <c r="K118" s="110"/>
      <c r="L118" s="110"/>
      <c r="M118" s="110"/>
      <c r="N118" s="110"/>
      <c r="O118" s="117"/>
      <c r="P118" s="119">
        <f t="array" ref="P118">LEN(D118)-SUM((LEN(D118)-LEN(SUBSTITUTE(D118,修饰列表!$B$2:$B$80,修饰列表!$D$2:$D$80))))</f>
        <v>0</v>
      </c>
      <c r="Q118" s="120">
        <f t="shared" si="1"/>
        <v>0</v>
      </c>
    </row>
    <row r="119" spans="1:17" x14ac:dyDescent="0.25">
      <c r="A119" s="113"/>
      <c r="B119" s="114"/>
      <c r="C119" s="114"/>
      <c r="D119" s="115"/>
      <c r="E119" s="104"/>
      <c r="F119" s="117"/>
      <c r="G119" s="117"/>
      <c r="H119" s="117"/>
      <c r="I119" s="117"/>
      <c r="J119" s="117"/>
      <c r="K119" s="110"/>
      <c r="L119" s="110"/>
      <c r="M119" s="110"/>
      <c r="N119" s="110"/>
      <c r="O119" s="117"/>
      <c r="P119" s="119">
        <f t="array" ref="P119">LEN(D119)-SUM((LEN(D119)-LEN(SUBSTITUTE(D119,修饰列表!$B$2:$B$80,修饰列表!$D$2:$D$80))))</f>
        <v>0</v>
      </c>
      <c r="Q119" s="120">
        <f t="shared" si="1"/>
        <v>0</v>
      </c>
    </row>
    <row r="120" spans="1:17" x14ac:dyDescent="0.25">
      <c r="A120" s="113"/>
      <c r="B120" s="114"/>
      <c r="C120" s="114"/>
      <c r="D120" s="115"/>
      <c r="E120" s="104"/>
      <c r="F120" s="117"/>
      <c r="G120" s="117"/>
      <c r="H120" s="117"/>
      <c r="I120" s="117"/>
      <c r="J120" s="117"/>
      <c r="K120" s="110"/>
      <c r="L120" s="110"/>
      <c r="M120" s="110"/>
      <c r="N120" s="110"/>
      <c r="O120" s="117"/>
      <c r="P120" s="119">
        <f t="array" ref="P120">LEN(D120)-SUM((LEN(D120)-LEN(SUBSTITUTE(D120,修饰列表!$B$2:$B$80,修饰列表!$D$2:$D$80))))</f>
        <v>0</v>
      </c>
      <c r="Q120" s="120">
        <f t="shared" si="1"/>
        <v>0</v>
      </c>
    </row>
    <row r="121" spans="1:17" x14ac:dyDescent="0.25">
      <c r="A121" s="113"/>
      <c r="B121" s="114"/>
      <c r="C121" s="114"/>
      <c r="D121" s="115"/>
      <c r="E121" s="104"/>
      <c r="F121" s="117"/>
      <c r="G121" s="117"/>
      <c r="H121" s="117"/>
      <c r="I121" s="117"/>
      <c r="J121" s="117"/>
      <c r="K121" s="110"/>
      <c r="L121" s="110"/>
      <c r="M121" s="110"/>
      <c r="N121" s="110"/>
      <c r="O121" s="117"/>
      <c r="P121" s="119">
        <f t="array" ref="P121">LEN(D121)-SUM((LEN(D121)-LEN(SUBSTITUTE(D121,修饰列表!$B$2:$B$80,修饰列表!$D$2:$D$80))))</f>
        <v>0</v>
      </c>
      <c r="Q121" s="120">
        <f t="shared" si="1"/>
        <v>0</v>
      </c>
    </row>
    <row r="122" spans="1:17" x14ac:dyDescent="0.25">
      <c r="A122" s="113"/>
      <c r="B122" s="114"/>
      <c r="C122" s="114"/>
      <c r="D122" s="115"/>
      <c r="E122" s="104"/>
      <c r="F122" s="117"/>
      <c r="G122" s="117"/>
      <c r="H122" s="117"/>
      <c r="I122" s="117"/>
      <c r="J122" s="117"/>
      <c r="K122" s="110"/>
      <c r="L122" s="110"/>
      <c r="M122" s="110"/>
      <c r="N122" s="110"/>
      <c r="O122" s="117"/>
      <c r="P122" s="119">
        <f t="array" ref="P122">LEN(D14)-SUM((LEN(D14)-LEN(SUBSTITUTE(D14,修饰列表!$B$2:$B$80,修饰列表!$D$2:$D$80))))</f>
        <v>0</v>
      </c>
      <c r="Q122" s="120">
        <f>IF(I14="",H14*J14,H14*I14)</f>
        <v>0</v>
      </c>
    </row>
    <row r="123" spans="1:17" x14ac:dyDescent="0.25">
      <c r="A123" s="113"/>
      <c r="B123" s="114"/>
      <c r="C123" s="114"/>
      <c r="D123" s="115"/>
      <c r="E123" s="104"/>
      <c r="F123" s="117"/>
      <c r="G123" s="117"/>
      <c r="H123" s="117"/>
      <c r="I123" s="117"/>
      <c r="J123" s="117"/>
      <c r="K123" s="110"/>
      <c r="L123" s="110"/>
      <c r="M123" s="110"/>
      <c r="N123" s="110"/>
      <c r="O123" s="117"/>
      <c r="P123" s="119">
        <f t="array" ref="P123">LEN(D123)-SUM((LEN(D123)-LEN(SUBSTITUTE(D123,修饰列表!$B$2:$B$80,修饰列表!$D$2:$D$80))))</f>
        <v>0</v>
      </c>
      <c r="Q123" s="120">
        <f t="shared" si="1"/>
        <v>0</v>
      </c>
    </row>
    <row r="124" spans="1:17" x14ac:dyDescent="0.25">
      <c r="A124" s="113"/>
      <c r="B124" s="114"/>
      <c r="C124" s="114"/>
      <c r="D124" s="115"/>
      <c r="E124" s="104"/>
      <c r="F124" s="117"/>
      <c r="G124" s="117"/>
      <c r="H124" s="117"/>
      <c r="I124" s="117"/>
      <c r="J124" s="117"/>
      <c r="K124" s="110"/>
      <c r="L124" s="110"/>
      <c r="M124" s="110"/>
      <c r="N124" s="110"/>
      <c r="O124" s="117"/>
      <c r="P124" s="119">
        <f t="array" ref="P124">LEN(D124)-SUM((LEN(D124)-LEN(SUBSTITUTE(D124,修饰列表!$B$2:$B$80,修饰列表!$D$2:$D$80))))</f>
        <v>0</v>
      </c>
      <c r="Q124" s="120">
        <f t="shared" si="1"/>
        <v>0</v>
      </c>
    </row>
    <row r="125" spans="1:17" x14ac:dyDescent="0.25">
      <c r="A125" s="113"/>
      <c r="B125" s="114"/>
      <c r="C125" s="114"/>
      <c r="D125" s="115"/>
      <c r="E125" s="104"/>
      <c r="F125" s="117"/>
      <c r="G125" s="117"/>
      <c r="H125" s="117"/>
      <c r="I125" s="117"/>
      <c r="J125" s="117"/>
      <c r="K125" s="110"/>
      <c r="L125" s="110"/>
      <c r="M125" s="110"/>
      <c r="N125" s="110"/>
      <c r="O125" s="117"/>
      <c r="P125" s="119">
        <f t="array" ref="P125">LEN(D125)-SUM((LEN(D125)-LEN(SUBSTITUTE(D125,修饰列表!$B$2:$B$80,修饰列表!$D$2:$D$80))))</f>
        <v>0</v>
      </c>
      <c r="Q125" s="120">
        <f t="shared" si="1"/>
        <v>0</v>
      </c>
    </row>
    <row r="126" spans="1:17" x14ac:dyDescent="0.25">
      <c r="A126" s="113"/>
      <c r="B126" s="114"/>
      <c r="C126" s="114"/>
      <c r="D126" s="115"/>
      <c r="E126" s="104"/>
      <c r="F126" s="117"/>
      <c r="G126" s="117"/>
      <c r="H126" s="117"/>
      <c r="I126" s="117"/>
      <c r="J126" s="117"/>
      <c r="K126" s="110"/>
      <c r="L126" s="110"/>
      <c r="M126" s="110"/>
      <c r="N126" s="110"/>
      <c r="O126" s="117"/>
      <c r="P126" s="119">
        <f t="array" ref="P126">LEN(D126)-SUM((LEN(D126)-LEN(SUBSTITUTE(D126,修饰列表!$B$2:$B$80,修饰列表!$D$2:$D$80))))</f>
        <v>0</v>
      </c>
      <c r="Q126" s="120">
        <f t="shared" si="1"/>
        <v>0</v>
      </c>
    </row>
    <row r="127" spans="1:17" x14ac:dyDescent="0.25">
      <c r="A127" s="113"/>
      <c r="B127" s="114"/>
      <c r="C127" s="114"/>
      <c r="D127" s="115"/>
      <c r="E127" s="104"/>
      <c r="F127" s="117"/>
      <c r="G127" s="117"/>
      <c r="H127" s="117"/>
      <c r="I127" s="117"/>
      <c r="J127" s="117"/>
      <c r="K127" s="110"/>
      <c r="L127" s="110"/>
      <c r="M127" s="110"/>
      <c r="N127" s="110"/>
      <c r="O127" s="117"/>
      <c r="P127" s="119">
        <f t="array" ref="P127">LEN(D127)-SUM((LEN(D127)-LEN(SUBSTITUTE(D127,修饰列表!$B$2:$B$80,修饰列表!$D$2:$D$80))))</f>
        <v>0</v>
      </c>
      <c r="Q127" s="120">
        <f t="shared" si="1"/>
        <v>0</v>
      </c>
    </row>
    <row r="128" spans="1:17" x14ac:dyDescent="0.25">
      <c r="A128" s="113"/>
      <c r="B128" s="114"/>
      <c r="C128" s="114"/>
      <c r="D128" s="115"/>
      <c r="E128" s="104"/>
      <c r="F128" s="117"/>
      <c r="G128" s="117"/>
      <c r="H128" s="117"/>
      <c r="I128" s="117"/>
      <c r="J128" s="117"/>
      <c r="K128" s="110"/>
      <c r="L128" s="110"/>
      <c r="M128" s="110"/>
      <c r="N128" s="110"/>
      <c r="O128" s="117"/>
      <c r="P128" s="119">
        <f t="array" ref="P128">LEN(D128)-SUM((LEN(D128)-LEN(SUBSTITUTE(D128,修饰列表!$B$2:$B$80,修饰列表!$D$2:$D$80))))</f>
        <v>0</v>
      </c>
      <c r="Q128" s="120">
        <f t="shared" si="1"/>
        <v>0</v>
      </c>
    </row>
    <row r="129" spans="1:17" x14ac:dyDescent="0.25">
      <c r="A129" s="113"/>
      <c r="B129" s="114"/>
      <c r="C129" s="114"/>
      <c r="D129" s="115"/>
      <c r="E129" s="104"/>
      <c r="F129" s="117"/>
      <c r="G129" s="117"/>
      <c r="H129" s="117"/>
      <c r="I129" s="117"/>
      <c r="J129" s="117"/>
      <c r="K129" s="110"/>
      <c r="L129" s="110"/>
      <c r="M129" s="110"/>
      <c r="N129" s="110"/>
      <c r="O129" s="117"/>
      <c r="P129" s="119">
        <f t="array" ref="P129">LEN(D129)-SUM((LEN(D129)-LEN(SUBSTITUTE(D129,修饰列表!$B$2:$B$80,修饰列表!$D$2:$D$80))))</f>
        <v>0</v>
      </c>
      <c r="Q129" s="120">
        <f t="shared" si="1"/>
        <v>0</v>
      </c>
    </row>
    <row r="130" spans="1:17" x14ac:dyDescent="0.25">
      <c r="A130" s="113"/>
      <c r="B130" s="114"/>
      <c r="C130" s="114"/>
      <c r="D130" s="115"/>
      <c r="E130" s="104"/>
      <c r="F130" s="117"/>
      <c r="G130" s="117"/>
      <c r="H130" s="117"/>
      <c r="I130" s="117"/>
      <c r="J130" s="117"/>
      <c r="K130" s="110"/>
      <c r="L130" s="110"/>
      <c r="M130" s="110"/>
      <c r="N130" s="110"/>
      <c r="O130" s="117"/>
      <c r="P130" s="119">
        <f t="array" ref="P130">LEN(D130)-SUM((LEN(D130)-LEN(SUBSTITUTE(D130,修饰列表!$B$2:$B$80,修饰列表!$D$2:$D$80))))</f>
        <v>0</v>
      </c>
      <c r="Q130" s="120">
        <f t="shared" si="1"/>
        <v>0</v>
      </c>
    </row>
    <row r="131" spans="1:17" x14ac:dyDescent="0.25">
      <c r="A131" s="113"/>
      <c r="B131" s="114"/>
      <c r="C131" s="114"/>
      <c r="D131" s="115"/>
      <c r="E131" s="104"/>
      <c r="F131" s="117"/>
      <c r="G131" s="117"/>
      <c r="H131" s="117"/>
      <c r="I131" s="117"/>
      <c r="J131" s="117"/>
      <c r="K131" s="110"/>
      <c r="L131" s="110"/>
      <c r="M131" s="110"/>
      <c r="N131" s="110"/>
      <c r="O131" s="117"/>
      <c r="P131" s="119">
        <f t="array" ref="P131">LEN(D131)-SUM((LEN(D131)-LEN(SUBSTITUTE(D131,修饰列表!$B$2:$B$80,修饰列表!$D$2:$D$80))))</f>
        <v>0</v>
      </c>
      <c r="Q131" s="120">
        <f t="shared" si="1"/>
        <v>0</v>
      </c>
    </row>
    <row r="132" spans="1:17" x14ac:dyDescent="0.25">
      <c r="A132" s="113"/>
      <c r="B132" s="114"/>
      <c r="C132" s="114"/>
      <c r="D132" s="115"/>
      <c r="E132" s="104"/>
      <c r="F132" s="117"/>
      <c r="G132" s="117"/>
      <c r="H132" s="117"/>
      <c r="I132" s="117"/>
      <c r="J132" s="117"/>
      <c r="K132" s="110"/>
      <c r="L132" s="110"/>
      <c r="M132" s="110"/>
      <c r="N132" s="110"/>
      <c r="O132" s="117"/>
      <c r="P132" s="119">
        <f t="array" ref="P132">LEN(D132)-SUM((LEN(D132)-LEN(SUBSTITUTE(D132,修饰列表!$B$2:$B$80,修饰列表!$D$2:$D$80))))</f>
        <v>0</v>
      </c>
      <c r="Q132" s="120">
        <f t="shared" si="1"/>
        <v>0</v>
      </c>
    </row>
    <row r="133" spans="1:17" x14ac:dyDescent="0.25">
      <c r="A133" s="113"/>
      <c r="B133" s="114"/>
      <c r="C133" s="114"/>
      <c r="D133" s="115"/>
      <c r="E133" s="104"/>
      <c r="F133" s="117"/>
      <c r="G133" s="117"/>
      <c r="H133" s="117"/>
      <c r="I133" s="117"/>
      <c r="J133" s="117"/>
      <c r="K133" s="110"/>
      <c r="L133" s="110"/>
      <c r="M133" s="110"/>
      <c r="N133" s="110"/>
      <c r="O133" s="117"/>
      <c r="P133" s="119">
        <f t="array" ref="P133">LEN(D133)-SUM((LEN(D133)-LEN(SUBSTITUTE(D133,修饰列表!$B$2:$B$80,修饰列表!$D$2:$D$80))))</f>
        <v>0</v>
      </c>
      <c r="Q133" s="120">
        <f t="shared" si="1"/>
        <v>0</v>
      </c>
    </row>
    <row r="134" spans="1:17" x14ac:dyDescent="0.25">
      <c r="A134" s="113"/>
      <c r="B134" s="114"/>
      <c r="C134" s="114"/>
      <c r="D134" s="115"/>
      <c r="E134" s="104"/>
      <c r="F134" s="117"/>
      <c r="G134" s="117"/>
      <c r="H134" s="117"/>
      <c r="I134" s="117"/>
      <c r="J134" s="117"/>
      <c r="K134" s="110"/>
      <c r="L134" s="110"/>
      <c r="M134" s="110"/>
      <c r="N134" s="110"/>
      <c r="O134" s="117"/>
      <c r="P134" s="119">
        <f t="array" ref="P134">LEN(D134)-SUM((LEN(D134)-LEN(SUBSTITUTE(D134,修饰列表!$B$2:$B$80,修饰列表!$D$2:$D$80))))</f>
        <v>0</v>
      </c>
      <c r="Q134" s="120">
        <f t="shared" si="1"/>
        <v>0</v>
      </c>
    </row>
    <row r="135" spans="1:17" x14ac:dyDescent="0.25">
      <c r="A135" s="113"/>
      <c r="B135" s="114"/>
      <c r="C135" s="114"/>
      <c r="D135" s="115"/>
      <c r="E135" s="104"/>
      <c r="F135" s="117"/>
      <c r="G135" s="117"/>
      <c r="H135" s="117"/>
      <c r="I135" s="117"/>
      <c r="J135" s="117"/>
      <c r="K135" s="110"/>
      <c r="L135" s="110"/>
      <c r="M135" s="110"/>
      <c r="N135" s="110"/>
      <c r="O135" s="117"/>
      <c r="P135" s="119">
        <f t="array" ref="P135">LEN(D135)-SUM((LEN(D135)-LEN(SUBSTITUTE(D135,修饰列表!$B$2:$B$80,修饰列表!$D$2:$D$80))))</f>
        <v>0</v>
      </c>
      <c r="Q135" s="120">
        <f t="shared" si="1"/>
        <v>0</v>
      </c>
    </row>
    <row r="136" spans="1:17" x14ac:dyDescent="0.25">
      <c r="A136" s="113"/>
      <c r="B136" s="114"/>
      <c r="C136" s="114"/>
      <c r="D136" s="115"/>
      <c r="E136" s="104"/>
      <c r="F136" s="117"/>
      <c r="G136" s="117"/>
      <c r="H136" s="117"/>
      <c r="I136" s="117"/>
      <c r="J136" s="117"/>
      <c r="K136" s="110"/>
      <c r="L136" s="110"/>
      <c r="M136" s="110"/>
      <c r="N136" s="110"/>
      <c r="O136" s="117"/>
      <c r="P136" s="119">
        <f t="array" ref="P136">LEN(D136)-SUM((LEN(D136)-LEN(SUBSTITUTE(D136,修饰列表!$B$2:$B$80,修饰列表!$D$2:$D$80))))</f>
        <v>0</v>
      </c>
      <c r="Q136" s="120">
        <f t="shared" si="1"/>
        <v>0</v>
      </c>
    </row>
    <row r="137" spans="1:17" x14ac:dyDescent="0.25">
      <c r="A137" s="113"/>
      <c r="B137" s="114"/>
      <c r="C137" s="114"/>
      <c r="D137" s="115"/>
      <c r="E137" s="104"/>
      <c r="F137" s="117"/>
      <c r="G137" s="117"/>
      <c r="H137" s="117"/>
      <c r="I137" s="117"/>
      <c r="J137" s="117"/>
      <c r="K137" s="110"/>
      <c r="L137" s="110"/>
      <c r="M137" s="110"/>
      <c r="N137" s="110"/>
      <c r="O137" s="117"/>
      <c r="P137" s="119">
        <f t="array" ref="P137">LEN(D137)-SUM((LEN(D137)-LEN(SUBSTITUTE(D137,修饰列表!$B$2:$B$80,修饰列表!$D$2:$D$80))))</f>
        <v>0</v>
      </c>
      <c r="Q137" s="120">
        <f t="shared" si="1"/>
        <v>0</v>
      </c>
    </row>
    <row r="138" spans="1:17" x14ac:dyDescent="0.25">
      <c r="A138" s="113"/>
      <c r="B138" s="114"/>
      <c r="C138" s="114"/>
      <c r="D138" s="115"/>
      <c r="E138" s="104"/>
      <c r="F138" s="117"/>
      <c r="G138" s="117"/>
      <c r="H138" s="117"/>
      <c r="I138" s="117"/>
      <c r="J138" s="117"/>
      <c r="K138" s="110"/>
      <c r="L138" s="110"/>
      <c r="M138" s="110"/>
      <c r="N138" s="110"/>
      <c r="O138" s="117"/>
      <c r="P138" s="119">
        <f t="array" ref="P138">LEN(D138)-SUM((LEN(D138)-LEN(SUBSTITUTE(D138,修饰列表!$B$2:$B$80,修饰列表!$D$2:$D$80))))</f>
        <v>0</v>
      </c>
      <c r="Q138" s="120">
        <f t="shared" si="1"/>
        <v>0</v>
      </c>
    </row>
    <row r="139" spans="1:17" x14ac:dyDescent="0.25">
      <c r="A139" s="113"/>
      <c r="B139" s="114"/>
      <c r="C139" s="114"/>
      <c r="D139" s="115"/>
      <c r="E139" s="104"/>
      <c r="F139" s="117"/>
      <c r="G139" s="117"/>
      <c r="H139" s="117"/>
      <c r="I139" s="117"/>
      <c r="J139" s="117"/>
      <c r="K139" s="110"/>
      <c r="L139" s="110"/>
      <c r="M139" s="110"/>
      <c r="N139" s="110"/>
      <c r="O139" s="117"/>
      <c r="P139" s="119">
        <f t="array" ref="P139">LEN(D139)-SUM((LEN(D139)-LEN(SUBSTITUTE(D139,修饰列表!$B$2:$B$80,修饰列表!$D$2:$D$80))))</f>
        <v>0</v>
      </c>
      <c r="Q139" s="120">
        <f t="shared" si="1"/>
        <v>0</v>
      </c>
    </row>
    <row r="140" spans="1:17" x14ac:dyDescent="0.25">
      <c r="A140" s="113"/>
      <c r="B140" s="114"/>
      <c r="C140" s="114"/>
      <c r="D140" s="115"/>
      <c r="E140" s="104"/>
      <c r="F140" s="117"/>
      <c r="G140" s="117"/>
      <c r="H140" s="117"/>
      <c r="I140" s="117"/>
      <c r="J140" s="117"/>
      <c r="K140" s="110"/>
      <c r="L140" s="110"/>
      <c r="M140" s="110"/>
      <c r="N140" s="110"/>
      <c r="O140" s="117"/>
      <c r="P140" s="119">
        <f t="array" ref="P140">LEN(D140)-SUM((LEN(D140)-LEN(SUBSTITUTE(D140,修饰列表!$B$2:$B$80,修饰列表!$D$2:$D$80))))</f>
        <v>0</v>
      </c>
      <c r="Q140" s="120">
        <f t="shared" si="1"/>
        <v>0</v>
      </c>
    </row>
    <row r="141" spans="1:17" x14ac:dyDescent="0.25">
      <c r="A141" s="113"/>
      <c r="B141" s="114"/>
      <c r="C141" s="114"/>
      <c r="D141" s="115"/>
      <c r="E141" s="104"/>
      <c r="F141" s="117"/>
      <c r="G141" s="117"/>
      <c r="H141" s="117"/>
      <c r="I141" s="117"/>
      <c r="J141" s="117"/>
      <c r="K141" s="110"/>
      <c r="L141" s="110"/>
      <c r="M141" s="110"/>
      <c r="N141" s="110"/>
      <c r="O141" s="117"/>
      <c r="P141" s="119">
        <f t="array" ref="P141">LEN(D141)-SUM((LEN(D141)-LEN(SUBSTITUTE(D141,修饰列表!$B$2:$B$80,修饰列表!$D$2:$D$80))))</f>
        <v>0</v>
      </c>
      <c r="Q141" s="120">
        <f t="shared" si="1"/>
        <v>0</v>
      </c>
    </row>
    <row r="142" spans="1:17" x14ac:dyDescent="0.25">
      <c r="A142" s="113"/>
      <c r="B142" s="114"/>
      <c r="C142" s="114"/>
      <c r="D142" s="115"/>
      <c r="E142" s="104"/>
      <c r="F142" s="117"/>
      <c r="G142" s="117"/>
      <c r="H142" s="117"/>
      <c r="I142" s="117"/>
      <c r="J142" s="117"/>
      <c r="K142" s="110"/>
      <c r="L142" s="110"/>
      <c r="M142" s="110"/>
      <c r="N142" s="110"/>
      <c r="O142" s="117"/>
      <c r="P142" s="119">
        <f t="array" ref="P142">LEN(D142)-SUM((LEN(D142)-LEN(SUBSTITUTE(D142,修饰列表!$B$2:$B$80,修饰列表!$D$2:$D$80))))</f>
        <v>0</v>
      </c>
      <c r="Q142" s="120">
        <f t="shared" si="1"/>
        <v>0</v>
      </c>
    </row>
    <row r="143" spans="1:17" x14ac:dyDescent="0.25">
      <c r="A143" s="113"/>
      <c r="B143" s="114"/>
      <c r="C143" s="114"/>
      <c r="D143" s="115"/>
      <c r="E143" s="104"/>
      <c r="F143" s="117"/>
      <c r="G143" s="117"/>
      <c r="H143" s="117"/>
      <c r="I143" s="117"/>
      <c r="J143" s="117"/>
      <c r="K143" s="110"/>
      <c r="L143" s="110"/>
      <c r="M143" s="110"/>
      <c r="N143" s="110"/>
      <c r="O143" s="117"/>
      <c r="P143" s="119">
        <f t="array" ref="P143">LEN(D143)-SUM((LEN(D143)-LEN(SUBSTITUTE(D143,修饰列表!$B$2:$B$80,修饰列表!$D$2:$D$80))))</f>
        <v>0</v>
      </c>
      <c r="Q143" s="120">
        <f t="shared" si="1"/>
        <v>0</v>
      </c>
    </row>
    <row r="144" spans="1:17" x14ac:dyDescent="0.25">
      <c r="A144" s="113"/>
      <c r="B144" s="114"/>
      <c r="C144" s="114"/>
      <c r="D144" s="115"/>
      <c r="E144" s="104"/>
      <c r="F144" s="117"/>
      <c r="G144" s="117"/>
      <c r="H144" s="117"/>
      <c r="I144" s="117"/>
      <c r="J144" s="117"/>
      <c r="K144" s="110"/>
      <c r="L144" s="110"/>
      <c r="M144" s="110"/>
      <c r="N144" s="110"/>
      <c r="O144" s="117"/>
      <c r="P144" s="119">
        <f t="array" ref="P144">LEN(D144)-SUM((LEN(D144)-LEN(SUBSTITUTE(D144,修饰列表!$B$2:$B$80,修饰列表!$D$2:$D$80))))</f>
        <v>0</v>
      </c>
      <c r="Q144" s="120">
        <f t="shared" si="1"/>
        <v>0</v>
      </c>
    </row>
    <row r="145" spans="1:17" x14ac:dyDescent="0.25">
      <c r="A145" s="113"/>
      <c r="B145" s="114"/>
      <c r="C145" s="114"/>
      <c r="D145" s="115"/>
      <c r="E145" s="104"/>
      <c r="F145" s="117"/>
      <c r="G145" s="117"/>
      <c r="H145" s="117"/>
      <c r="I145" s="117"/>
      <c r="J145" s="117"/>
      <c r="K145" s="110"/>
      <c r="L145" s="110"/>
      <c r="M145" s="110"/>
      <c r="N145" s="110"/>
      <c r="O145" s="117"/>
      <c r="P145" s="119">
        <f t="array" ref="P145">LEN(D145)-SUM((LEN(D145)-LEN(SUBSTITUTE(D145,修饰列表!$B$2:$B$80,修饰列表!$D$2:$D$80))))</f>
        <v>0</v>
      </c>
      <c r="Q145" s="120">
        <f t="shared" si="1"/>
        <v>0</v>
      </c>
    </row>
    <row r="146" spans="1:17" x14ac:dyDescent="0.25">
      <c r="A146" s="113"/>
      <c r="B146" s="114"/>
      <c r="C146" s="114"/>
      <c r="D146" s="115"/>
      <c r="E146" s="104"/>
      <c r="F146" s="117"/>
      <c r="G146" s="117"/>
      <c r="H146" s="117"/>
      <c r="I146" s="117"/>
      <c r="J146" s="117"/>
      <c r="K146" s="110"/>
      <c r="L146" s="110"/>
      <c r="M146" s="110"/>
      <c r="N146" s="110"/>
      <c r="O146" s="117"/>
      <c r="P146" s="119">
        <f t="array" ref="P146">LEN(D146)-SUM((LEN(D146)-LEN(SUBSTITUTE(D146,修饰列表!$B$2:$B$80,修饰列表!$D$2:$D$80))))</f>
        <v>0</v>
      </c>
      <c r="Q146" s="120">
        <f t="shared" si="1"/>
        <v>0</v>
      </c>
    </row>
    <row r="147" spans="1:17" x14ac:dyDescent="0.25">
      <c r="A147" s="113"/>
      <c r="B147" s="114"/>
      <c r="C147" s="114"/>
      <c r="D147" s="115"/>
      <c r="E147" s="104"/>
      <c r="F147" s="117"/>
      <c r="G147" s="117"/>
      <c r="H147" s="117"/>
      <c r="I147" s="117"/>
      <c r="J147" s="117"/>
      <c r="K147" s="110"/>
      <c r="L147" s="110"/>
      <c r="M147" s="110"/>
      <c r="N147" s="110"/>
      <c r="O147" s="117"/>
      <c r="P147" s="119">
        <f t="array" ref="P147">LEN(D147)-SUM((LEN(D147)-LEN(SUBSTITUTE(D147,修饰列表!$B$2:$B$80,修饰列表!$D$2:$D$80))))</f>
        <v>0</v>
      </c>
      <c r="Q147" s="120">
        <f t="shared" si="1"/>
        <v>0</v>
      </c>
    </row>
    <row r="148" spans="1:17" x14ac:dyDescent="0.25">
      <c r="A148" s="113"/>
      <c r="B148" s="114"/>
      <c r="C148" s="114"/>
      <c r="D148" s="115"/>
      <c r="E148" s="104"/>
      <c r="F148" s="117"/>
      <c r="G148" s="117"/>
      <c r="H148" s="117"/>
      <c r="I148" s="117"/>
      <c r="J148" s="117"/>
      <c r="K148" s="110"/>
      <c r="L148" s="110"/>
      <c r="M148" s="110"/>
      <c r="N148" s="110"/>
      <c r="O148" s="117"/>
      <c r="P148" s="119">
        <f t="array" ref="P148">LEN(D148)-SUM((LEN(D148)-LEN(SUBSTITUTE(D148,修饰列表!$B$2:$B$80,修饰列表!$D$2:$D$80))))</f>
        <v>0</v>
      </c>
      <c r="Q148" s="120">
        <f t="shared" si="1"/>
        <v>0</v>
      </c>
    </row>
    <row r="149" spans="1:17" x14ac:dyDescent="0.25">
      <c r="A149" s="113"/>
      <c r="B149" s="114"/>
      <c r="C149" s="114"/>
      <c r="D149" s="115"/>
      <c r="E149" s="104"/>
      <c r="F149" s="117"/>
      <c r="G149" s="117"/>
      <c r="H149" s="117"/>
      <c r="I149" s="117"/>
      <c r="J149" s="117"/>
      <c r="K149" s="110"/>
      <c r="L149" s="110"/>
      <c r="M149" s="110"/>
      <c r="N149" s="110"/>
      <c r="O149" s="117"/>
      <c r="P149" s="119">
        <f t="array" ref="P149">LEN(D149)-SUM((LEN(D149)-LEN(SUBSTITUTE(D149,修饰列表!$B$2:$B$80,修饰列表!$D$2:$D$80))))</f>
        <v>0</v>
      </c>
      <c r="Q149" s="120">
        <f t="shared" ref="Q149:Q212" si="2">IF(I149="",H149*J149,H149*I149)</f>
        <v>0</v>
      </c>
    </row>
    <row r="150" spans="1:17" x14ac:dyDescent="0.25">
      <c r="A150" s="113"/>
      <c r="B150" s="114"/>
      <c r="C150" s="114"/>
      <c r="D150" s="115"/>
      <c r="E150" s="104"/>
      <c r="F150" s="117"/>
      <c r="G150" s="117"/>
      <c r="H150" s="117"/>
      <c r="I150" s="117"/>
      <c r="J150" s="117"/>
      <c r="K150" s="110"/>
      <c r="L150" s="110"/>
      <c r="M150" s="110"/>
      <c r="N150" s="110"/>
      <c r="O150" s="117"/>
      <c r="P150" s="119">
        <f t="array" ref="P150">LEN(D150)-SUM((LEN(D150)-LEN(SUBSTITUTE(D150,修饰列表!$B$2:$B$80,修饰列表!$D$2:$D$80))))</f>
        <v>0</v>
      </c>
      <c r="Q150" s="120">
        <f t="shared" si="2"/>
        <v>0</v>
      </c>
    </row>
    <row r="151" spans="1:17" x14ac:dyDescent="0.25">
      <c r="A151" s="113"/>
      <c r="B151" s="114"/>
      <c r="C151" s="114"/>
      <c r="D151" s="115"/>
      <c r="E151" s="104"/>
      <c r="F151" s="117"/>
      <c r="G151" s="117"/>
      <c r="H151" s="117"/>
      <c r="I151" s="117"/>
      <c r="J151" s="117"/>
      <c r="K151" s="110"/>
      <c r="L151" s="110"/>
      <c r="M151" s="110"/>
      <c r="N151" s="110"/>
      <c r="O151" s="117"/>
      <c r="P151" s="119">
        <f t="array" ref="P151">LEN(D151)-SUM((LEN(D151)-LEN(SUBSTITUTE(D151,修饰列表!$B$2:$B$80,修饰列表!$D$2:$D$80))))</f>
        <v>0</v>
      </c>
      <c r="Q151" s="120">
        <f t="shared" si="2"/>
        <v>0</v>
      </c>
    </row>
    <row r="152" spans="1:17" x14ac:dyDescent="0.25">
      <c r="A152" s="113"/>
      <c r="B152" s="114"/>
      <c r="C152" s="114"/>
      <c r="D152" s="115"/>
      <c r="E152" s="104"/>
      <c r="F152" s="117"/>
      <c r="G152" s="117"/>
      <c r="H152" s="117"/>
      <c r="I152" s="117"/>
      <c r="J152" s="117"/>
      <c r="K152" s="110"/>
      <c r="L152" s="110"/>
      <c r="M152" s="110"/>
      <c r="N152" s="110"/>
      <c r="O152" s="117"/>
      <c r="P152" s="119">
        <f t="array" ref="P152">LEN(D152)-SUM((LEN(D152)-LEN(SUBSTITUTE(D152,修饰列表!$B$2:$B$80,修饰列表!$D$2:$D$80))))</f>
        <v>0</v>
      </c>
      <c r="Q152" s="120">
        <f t="shared" si="2"/>
        <v>0</v>
      </c>
    </row>
    <row r="153" spans="1:17" x14ac:dyDescent="0.25">
      <c r="A153" s="113"/>
      <c r="B153" s="114"/>
      <c r="C153" s="114"/>
      <c r="D153" s="115"/>
      <c r="E153" s="104"/>
      <c r="F153" s="117"/>
      <c r="G153" s="117"/>
      <c r="H153" s="117"/>
      <c r="I153" s="117"/>
      <c r="J153" s="117"/>
      <c r="K153" s="110"/>
      <c r="L153" s="110"/>
      <c r="M153" s="110"/>
      <c r="N153" s="110"/>
      <c r="O153" s="117"/>
      <c r="P153" s="119">
        <f t="array" ref="P153">LEN(D153)-SUM((LEN(D153)-LEN(SUBSTITUTE(D153,修饰列表!$B$2:$B$80,修饰列表!$D$2:$D$80))))</f>
        <v>0</v>
      </c>
      <c r="Q153" s="120">
        <f t="shared" si="2"/>
        <v>0</v>
      </c>
    </row>
    <row r="154" spans="1:17" x14ac:dyDescent="0.25">
      <c r="A154" s="113"/>
      <c r="B154" s="114"/>
      <c r="C154" s="114"/>
      <c r="D154" s="115"/>
      <c r="E154" s="104"/>
      <c r="F154" s="117"/>
      <c r="G154" s="117"/>
      <c r="H154" s="117"/>
      <c r="I154" s="117"/>
      <c r="J154" s="117"/>
      <c r="K154" s="110"/>
      <c r="L154" s="110"/>
      <c r="M154" s="110"/>
      <c r="N154" s="110"/>
      <c r="O154" s="117"/>
      <c r="P154" s="119">
        <f t="array" ref="P154">LEN(D154)-SUM((LEN(D154)-LEN(SUBSTITUTE(D154,修饰列表!$B$2:$B$80,修饰列表!$D$2:$D$80))))</f>
        <v>0</v>
      </c>
      <c r="Q154" s="120">
        <f t="shared" si="2"/>
        <v>0</v>
      </c>
    </row>
    <row r="155" spans="1:17" x14ac:dyDescent="0.25">
      <c r="A155" s="113"/>
      <c r="B155" s="114"/>
      <c r="C155" s="114"/>
      <c r="D155" s="115"/>
      <c r="E155" s="104"/>
      <c r="F155" s="117"/>
      <c r="G155" s="117"/>
      <c r="H155" s="117"/>
      <c r="I155" s="117"/>
      <c r="J155" s="117"/>
      <c r="K155" s="110"/>
      <c r="L155" s="110"/>
      <c r="M155" s="110"/>
      <c r="N155" s="110"/>
      <c r="O155" s="117"/>
      <c r="P155" s="119">
        <f t="array" ref="P155">LEN(D155)-SUM((LEN(D155)-LEN(SUBSTITUTE(D155,修饰列表!$B$2:$B$80,修饰列表!$D$2:$D$80))))</f>
        <v>0</v>
      </c>
      <c r="Q155" s="120">
        <f t="shared" si="2"/>
        <v>0</v>
      </c>
    </row>
    <row r="156" spans="1:17" x14ac:dyDescent="0.25">
      <c r="A156" s="113"/>
      <c r="B156" s="114"/>
      <c r="C156" s="114"/>
      <c r="D156" s="115"/>
      <c r="E156" s="104"/>
      <c r="F156" s="117"/>
      <c r="G156" s="117"/>
      <c r="H156" s="117"/>
      <c r="I156" s="117"/>
      <c r="J156" s="117"/>
      <c r="K156" s="110"/>
      <c r="L156" s="110"/>
      <c r="M156" s="110"/>
      <c r="N156" s="110"/>
      <c r="O156" s="117"/>
      <c r="P156" s="119">
        <f t="array" ref="P156">LEN(D156)-SUM((LEN(D156)-LEN(SUBSTITUTE(D156,修饰列表!$B$2:$B$80,修饰列表!$D$2:$D$80))))</f>
        <v>0</v>
      </c>
      <c r="Q156" s="120">
        <f t="shared" si="2"/>
        <v>0</v>
      </c>
    </row>
    <row r="157" spans="1:17" x14ac:dyDescent="0.25">
      <c r="A157" s="113"/>
      <c r="B157" s="114"/>
      <c r="C157" s="114"/>
      <c r="D157" s="115"/>
      <c r="E157" s="104"/>
      <c r="F157" s="117"/>
      <c r="G157" s="117"/>
      <c r="H157" s="117"/>
      <c r="I157" s="117"/>
      <c r="J157" s="117"/>
      <c r="K157" s="110"/>
      <c r="L157" s="110"/>
      <c r="M157" s="110"/>
      <c r="N157" s="110"/>
      <c r="O157" s="117"/>
      <c r="P157" s="119">
        <f t="array" ref="P157">LEN(D157)-SUM((LEN(D157)-LEN(SUBSTITUTE(D157,修饰列表!$B$2:$B$80,修饰列表!$D$2:$D$80))))</f>
        <v>0</v>
      </c>
      <c r="Q157" s="120">
        <f t="shared" si="2"/>
        <v>0</v>
      </c>
    </row>
    <row r="158" spans="1:17" x14ac:dyDescent="0.25">
      <c r="A158" s="113"/>
      <c r="B158" s="114"/>
      <c r="C158" s="114"/>
      <c r="D158" s="115"/>
      <c r="E158" s="104"/>
      <c r="F158" s="117"/>
      <c r="G158" s="117"/>
      <c r="H158" s="117"/>
      <c r="I158" s="117"/>
      <c r="J158" s="117"/>
      <c r="K158" s="110"/>
      <c r="L158" s="110"/>
      <c r="M158" s="110"/>
      <c r="N158" s="110"/>
      <c r="O158" s="117"/>
      <c r="P158" s="119">
        <f t="array" ref="P158">LEN(D158)-SUM((LEN(D158)-LEN(SUBSTITUTE(D158,修饰列表!$B$2:$B$80,修饰列表!$D$2:$D$80))))</f>
        <v>0</v>
      </c>
      <c r="Q158" s="120">
        <f t="shared" si="2"/>
        <v>0</v>
      </c>
    </row>
    <row r="159" spans="1:17" x14ac:dyDescent="0.25">
      <c r="A159" s="113"/>
      <c r="B159" s="114"/>
      <c r="C159" s="114"/>
      <c r="D159" s="115"/>
      <c r="E159" s="104"/>
      <c r="F159" s="117"/>
      <c r="G159" s="117"/>
      <c r="H159" s="117"/>
      <c r="I159" s="117"/>
      <c r="J159" s="117"/>
      <c r="K159" s="110"/>
      <c r="L159" s="110"/>
      <c r="M159" s="110"/>
      <c r="N159" s="110"/>
      <c r="O159" s="117"/>
      <c r="P159" s="119">
        <f t="array" ref="P159">LEN(D159)-SUM((LEN(D159)-LEN(SUBSTITUTE(D159,修饰列表!$B$2:$B$80,修饰列表!$D$2:$D$80))))</f>
        <v>0</v>
      </c>
      <c r="Q159" s="120">
        <f t="shared" si="2"/>
        <v>0</v>
      </c>
    </row>
    <row r="160" spans="1:17" x14ac:dyDescent="0.25">
      <c r="A160" s="113"/>
      <c r="B160" s="114"/>
      <c r="C160" s="114"/>
      <c r="D160" s="115"/>
      <c r="E160" s="104"/>
      <c r="F160" s="117"/>
      <c r="G160" s="117"/>
      <c r="H160" s="117"/>
      <c r="I160" s="117"/>
      <c r="J160" s="117"/>
      <c r="K160" s="110"/>
      <c r="L160" s="110"/>
      <c r="M160" s="110"/>
      <c r="N160" s="110"/>
      <c r="O160" s="117"/>
      <c r="P160" s="119">
        <f t="array" ref="P160">LEN(D160)-SUM((LEN(D160)-LEN(SUBSTITUTE(D160,修饰列表!$B$2:$B$80,修饰列表!$D$2:$D$80))))</f>
        <v>0</v>
      </c>
      <c r="Q160" s="120">
        <f t="shared" si="2"/>
        <v>0</v>
      </c>
    </row>
    <row r="161" spans="1:17" x14ac:dyDescent="0.25">
      <c r="A161" s="113"/>
      <c r="B161" s="114"/>
      <c r="C161" s="114"/>
      <c r="D161" s="115"/>
      <c r="E161" s="104"/>
      <c r="F161" s="117"/>
      <c r="G161" s="117"/>
      <c r="H161" s="117"/>
      <c r="I161" s="117"/>
      <c r="J161" s="117"/>
      <c r="K161" s="110"/>
      <c r="L161" s="110"/>
      <c r="M161" s="110"/>
      <c r="N161" s="110"/>
      <c r="O161" s="117"/>
      <c r="P161" s="119">
        <f t="array" ref="P161">LEN(D161)-SUM((LEN(D161)-LEN(SUBSTITUTE(D161,修饰列表!$B$2:$B$80,修饰列表!$D$2:$D$80))))</f>
        <v>0</v>
      </c>
      <c r="Q161" s="120">
        <f t="shared" si="2"/>
        <v>0</v>
      </c>
    </row>
    <row r="162" spans="1:17" x14ac:dyDescent="0.25">
      <c r="A162" s="113"/>
      <c r="B162" s="114"/>
      <c r="C162" s="114"/>
      <c r="D162" s="115"/>
      <c r="E162" s="104"/>
      <c r="F162" s="117"/>
      <c r="G162" s="117"/>
      <c r="H162" s="117"/>
      <c r="I162" s="117"/>
      <c r="J162" s="117"/>
      <c r="K162" s="110"/>
      <c r="L162" s="110"/>
      <c r="M162" s="110"/>
      <c r="N162" s="110"/>
      <c r="O162" s="117"/>
      <c r="P162" s="119">
        <f t="array" ref="P162">LEN(D162)-SUM((LEN(D162)-LEN(SUBSTITUTE(D162,修饰列表!$B$2:$B$80,修饰列表!$D$2:$D$80))))</f>
        <v>0</v>
      </c>
      <c r="Q162" s="120">
        <f t="shared" si="2"/>
        <v>0</v>
      </c>
    </row>
    <row r="163" spans="1:17" x14ac:dyDescent="0.25">
      <c r="A163" s="113"/>
      <c r="B163" s="114"/>
      <c r="C163" s="114"/>
      <c r="D163" s="115"/>
      <c r="E163" s="104"/>
      <c r="F163" s="117"/>
      <c r="G163" s="117"/>
      <c r="H163" s="117"/>
      <c r="I163" s="117"/>
      <c r="J163" s="117"/>
      <c r="K163" s="110"/>
      <c r="L163" s="110"/>
      <c r="M163" s="110"/>
      <c r="N163" s="110"/>
      <c r="O163" s="117"/>
      <c r="P163" s="119">
        <f t="array" ref="P163">LEN(D163)-SUM((LEN(D163)-LEN(SUBSTITUTE(D163,修饰列表!$B$2:$B$80,修饰列表!$D$2:$D$80))))</f>
        <v>0</v>
      </c>
      <c r="Q163" s="120">
        <f t="shared" si="2"/>
        <v>0</v>
      </c>
    </row>
    <row r="164" spans="1:17" x14ac:dyDescent="0.25">
      <c r="A164" s="113"/>
      <c r="B164" s="114"/>
      <c r="C164" s="114"/>
      <c r="D164" s="115"/>
      <c r="E164" s="104"/>
      <c r="F164" s="117"/>
      <c r="G164" s="117"/>
      <c r="H164" s="117"/>
      <c r="I164" s="117"/>
      <c r="J164" s="117"/>
      <c r="K164" s="110"/>
      <c r="L164" s="110"/>
      <c r="M164" s="110"/>
      <c r="N164" s="110"/>
      <c r="O164" s="117"/>
      <c r="P164" s="119">
        <f t="array" ref="P164">LEN(D164)-SUM((LEN(D164)-LEN(SUBSTITUTE(D164,修饰列表!$B$2:$B$80,修饰列表!$D$2:$D$80))))</f>
        <v>0</v>
      </c>
      <c r="Q164" s="120">
        <f t="shared" si="2"/>
        <v>0</v>
      </c>
    </row>
    <row r="165" spans="1:17" x14ac:dyDescent="0.25">
      <c r="A165" s="113"/>
      <c r="B165" s="114"/>
      <c r="C165" s="114"/>
      <c r="D165" s="115"/>
      <c r="E165" s="104"/>
      <c r="F165" s="117"/>
      <c r="G165" s="117"/>
      <c r="H165" s="117"/>
      <c r="I165" s="117"/>
      <c r="J165" s="117"/>
      <c r="K165" s="110"/>
      <c r="L165" s="110"/>
      <c r="M165" s="110"/>
      <c r="N165" s="110"/>
      <c r="O165" s="117"/>
      <c r="P165" s="119">
        <f t="array" ref="P165">LEN(D165)-SUM((LEN(D165)-LEN(SUBSTITUTE(D165,修饰列表!$B$2:$B$80,修饰列表!$D$2:$D$80))))</f>
        <v>0</v>
      </c>
      <c r="Q165" s="120">
        <f t="shared" si="2"/>
        <v>0</v>
      </c>
    </row>
    <row r="166" spans="1:17" x14ac:dyDescent="0.25">
      <c r="A166" s="113"/>
      <c r="B166" s="114"/>
      <c r="C166" s="114"/>
      <c r="D166" s="115"/>
      <c r="E166" s="104"/>
      <c r="F166" s="117"/>
      <c r="G166" s="117"/>
      <c r="H166" s="117"/>
      <c r="I166" s="117"/>
      <c r="J166" s="117"/>
      <c r="K166" s="110"/>
      <c r="L166" s="110"/>
      <c r="M166" s="110"/>
      <c r="N166" s="110"/>
      <c r="O166" s="117"/>
      <c r="P166" s="119">
        <f t="array" ref="P166">LEN(D166)-SUM((LEN(D166)-LEN(SUBSTITUTE(D166,修饰列表!$B$2:$B$80,修饰列表!$D$2:$D$80))))</f>
        <v>0</v>
      </c>
      <c r="Q166" s="120">
        <f t="shared" si="2"/>
        <v>0</v>
      </c>
    </row>
    <row r="167" spans="1:17" x14ac:dyDescent="0.25">
      <c r="A167" s="113"/>
      <c r="B167" s="114"/>
      <c r="C167" s="114"/>
      <c r="D167" s="115"/>
      <c r="E167" s="104"/>
      <c r="F167" s="117"/>
      <c r="G167" s="117"/>
      <c r="H167" s="117"/>
      <c r="I167" s="117"/>
      <c r="J167" s="117"/>
      <c r="K167" s="110"/>
      <c r="L167" s="110"/>
      <c r="M167" s="110"/>
      <c r="N167" s="110"/>
      <c r="O167" s="117"/>
      <c r="P167" s="119">
        <f t="array" ref="P167">LEN(D167)-SUM((LEN(D167)-LEN(SUBSTITUTE(D167,修饰列表!$B$2:$B$80,修饰列表!$D$2:$D$80))))</f>
        <v>0</v>
      </c>
      <c r="Q167" s="120">
        <f t="shared" si="2"/>
        <v>0</v>
      </c>
    </row>
    <row r="168" spans="1:17" x14ac:dyDescent="0.25">
      <c r="A168" s="113"/>
      <c r="B168" s="114"/>
      <c r="C168" s="114"/>
      <c r="D168" s="115"/>
      <c r="E168" s="104"/>
      <c r="F168" s="117"/>
      <c r="G168" s="117"/>
      <c r="H168" s="117"/>
      <c r="I168" s="117"/>
      <c r="J168" s="117"/>
      <c r="K168" s="110"/>
      <c r="L168" s="110"/>
      <c r="M168" s="110"/>
      <c r="N168" s="110"/>
      <c r="O168" s="117"/>
      <c r="P168" s="119">
        <f t="array" ref="P168">LEN(D168)-SUM((LEN(D168)-LEN(SUBSTITUTE(D168,修饰列表!$B$2:$B$80,修饰列表!$D$2:$D$80))))</f>
        <v>0</v>
      </c>
      <c r="Q168" s="120">
        <f t="shared" si="2"/>
        <v>0</v>
      </c>
    </row>
    <row r="169" spans="1:17" x14ac:dyDescent="0.25">
      <c r="A169" s="113"/>
      <c r="B169" s="114"/>
      <c r="C169" s="114"/>
      <c r="D169" s="115"/>
      <c r="E169" s="104"/>
      <c r="F169" s="117"/>
      <c r="G169" s="117"/>
      <c r="H169" s="117"/>
      <c r="I169" s="117"/>
      <c r="J169" s="117"/>
      <c r="K169" s="110"/>
      <c r="L169" s="110"/>
      <c r="M169" s="110"/>
      <c r="N169" s="110"/>
      <c r="O169" s="117"/>
      <c r="P169" s="119">
        <f t="array" ref="P169">LEN(D169)-SUM((LEN(D169)-LEN(SUBSTITUTE(D169,修饰列表!$B$2:$B$80,修饰列表!$D$2:$D$80))))</f>
        <v>0</v>
      </c>
      <c r="Q169" s="120">
        <f t="shared" si="2"/>
        <v>0</v>
      </c>
    </row>
    <row r="170" spans="1:17" x14ac:dyDescent="0.25">
      <c r="A170" s="113"/>
      <c r="B170" s="114"/>
      <c r="C170" s="114"/>
      <c r="D170" s="115"/>
      <c r="E170" s="104"/>
      <c r="F170" s="117"/>
      <c r="G170" s="117"/>
      <c r="H170" s="117"/>
      <c r="I170" s="117"/>
      <c r="J170" s="117"/>
      <c r="K170" s="110"/>
      <c r="L170" s="110"/>
      <c r="M170" s="110"/>
      <c r="N170" s="110"/>
      <c r="O170" s="117"/>
      <c r="P170" s="119">
        <f t="array" ref="P170">LEN(D170)-SUM((LEN(D170)-LEN(SUBSTITUTE(D170,修饰列表!$B$2:$B$80,修饰列表!$D$2:$D$80))))</f>
        <v>0</v>
      </c>
      <c r="Q170" s="120">
        <f t="shared" si="2"/>
        <v>0</v>
      </c>
    </row>
    <row r="171" spans="1:17" x14ac:dyDescent="0.25">
      <c r="A171" s="113"/>
      <c r="B171" s="114"/>
      <c r="C171" s="114"/>
      <c r="D171" s="115"/>
      <c r="E171" s="104"/>
      <c r="F171" s="117"/>
      <c r="G171" s="117"/>
      <c r="H171" s="117"/>
      <c r="I171" s="117"/>
      <c r="J171" s="117"/>
      <c r="K171" s="110"/>
      <c r="L171" s="110"/>
      <c r="M171" s="110"/>
      <c r="N171" s="110"/>
      <c r="O171" s="117"/>
      <c r="P171" s="119">
        <f t="array" ref="P171">LEN(D171)-SUM((LEN(D171)-LEN(SUBSTITUTE(D171,修饰列表!$B$2:$B$80,修饰列表!$D$2:$D$80))))</f>
        <v>0</v>
      </c>
      <c r="Q171" s="120">
        <f t="shared" si="2"/>
        <v>0</v>
      </c>
    </row>
    <row r="172" spans="1:17" x14ac:dyDescent="0.25">
      <c r="A172" s="113"/>
      <c r="B172" s="114"/>
      <c r="C172" s="114"/>
      <c r="D172" s="115"/>
      <c r="E172" s="104"/>
      <c r="F172" s="117"/>
      <c r="G172" s="117"/>
      <c r="H172" s="117"/>
      <c r="I172" s="117"/>
      <c r="J172" s="117"/>
      <c r="K172" s="110"/>
      <c r="L172" s="110"/>
      <c r="M172" s="110"/>
      <c r="N172" s="110"/>
      <c r="O172" s="117"/>
      <c r="P172" s="119">
        <f t="array" ref="P172">LEN(D172)-SUM((LEN(D172)-LEN(SUBSTITUTE(D172,修饰列表!$B$2:$B$80,修饰列表!$D$2:$D$80))))</f>
        <v>0</v>
      </c>
      <c r="Q172" s="120">
        <f t="shared" si="2"/>
        <v>0</v>
      </c>
    </row>
    <row r="173" spans="1:17" x14ac:dyDescent="0.25">
      <c r="A173" s="113"/>
      <c r="B173" s="114"/>
      <c r="C173" s="114"/>
      <c r="D173" s="115"/>
      <c r="E173" s="104"/>
      <c r="F173" s="117"/>
      <c r="G173" s="117"/>
      <c r="H173" s="117"/>
      <c r="I173" s="117"/>
      <c r="J173" s="117"/>
      <c r="K173" s="110"/>
      <c r="L173" s="110"/>
      <c r="M173" s="110"/>
      <c r="N173" s="110"/>
      <c r="O173" s="117"/>
      <c r="P173" s="119">
        <f t="array" ref="P173">LEN(D173)-SUM((LEN(D173)-LEN(SUBSTITUTE(D173,修饰列表!$B$2:$B$80,修饰列表!$D$2:$D$80))))</f>
        <v>0</v>
      </c>
      <c r="Q173" s="120">
        <f t="shared" si="2"/>
        <v>0</v>
      </c>
    </row>
    <row r="174" spans="1:17" x14ac:dyDescent="0.25">
      <c r="A174" s="113"/>
      <c r="B174" s="114"/>
      <c r="C174" s="114"/>
      <c r="D174" s="115"/>
      <c r="E174" s="104"/>
      <c r="F174" s="117"/>
      <c r="G174" s="117"/>
      <c r="H174" s="117"/>
      <c r="I174" s="117"/>
      <c r="J174" s="117"/>
      <c r="K174" s="110"/>
      <c r="L174" s="110"/>
      <c r="M174" s="110"/>
      <c r="N174" s="110"/>
      <c r="O174" s="117"/>
      <c r="P174" s="119">
        <f t="array" ref="P174">LEN(D174)-SUM((LEN(D174)-LEN(SUBSTITUTE(D174,修饰列表!$B$2:$B$80,修饰列表!$D$2:$D$80))))</f>
        <v>0</v>
      </c>
      <c r="Q174" s="120">
        <f t="shared" si="2"/>
        <v>0</v>
      </c>
    </row>
    <row r="175" spans="1:17" x14ac:dyDescent="0.25">
      <c r="A175" s="113"/>
      <c r="B175" s="114"/>
      <c r="C175" s="114"/>
      <c r="D175" s="115"/>
      <c r="E175" s="104"/>
      <c r="F175" s="117"/>
      <c r="G175" s="117"/>
      <c r="H175" s="117"/>
      <c r="I175" s="117"/>
      <c r="J175" s="117"/>
      <c r="K175" s="110"/>
      <c r="L175" s="110"/>
      <c r="M175" s="110"/>
      <c r="N175" s="110"/>
      <c r="O175" s="117"/>
      <c r="P175" s="119">
        <f t="array" ref="P175">LEN(D175)-SUM((LEN(D175)-LEN(SUBSTITUTE(D175,修饰列表!$B$2:$B$80,修饰列表!$D$2:$D$80))))</f>
        <v>0</v>
      </c>
      <c r="Q175" s="120">
        <f t="shared" si="2"/>
        <v>0</v>
      </c>
    </row>
    <row r="176" spans="1:17" x14ac:dyDescent="0.25">
      <c r="A176" s="113"/>
      <c r="B176" s="114"/>
      <c r="C176" s="114"/>
      <c r="D176" s="115"/>
      <c r="E176" s="104"/>
      <c r="F176" s="117"/>
      <c r="G176" s="117"/>
      <c r="H176" s="117"/>
      <c r="I176" s="117"/>
      <c r="J176" s="117"/>
      <c r="K176" s="110"/>
      <c r="L176" s="110"/>
      <c r="M176" s="110"/>
      <c r="N176" s="110"/>
      <c r="O176" s="117"/>
      <c r="P176" s="119">
        <f t="array" ref="P176">LEN(D176)-SUM((LEN(D176)-LEN(SUBSTITUTE(D176,修饰列表!$B$2:$B$80,修饰列表!$D$2:$D$80))))</f>
        <v>0</v>
      </c>
      <c r="Q176" s="120">
        <f t="shared" si="2"/>
        <v>0</v>
      </c>
    </row>
    <row r="177" spans="1:17" x14ac:dyDescent="0.25">
      <c r="A177" s="113"/>
      <c r="B177" s="114"/>
      <c r="C177" s="114"/>
      <c r="D177" s="115"/>
      <c r="E177" s="104"/>
      <c r="F177" s="117"/>
      <c r="G177" s="117"/>
      <c r="H177" s="117"/>
      <c r="I177" s="117"/>
      <c r="J177" s="117"/>
      <c r="K177" s="110"/>
      <c r="L177" s="110"/>
      <c r="M177" s="110"/>
      <c r="N177" s="110"/>
      <c r="O177" s="117"/>
      <c r="P177" s="119">
        <f t="array" ref="P177">LEN(D177)-SUM((LEN(D177)-LEN(SUBSTITUTE(D177,修饰列表!$B$2:$B$80,修饰列表!$D$2:$D$80))))</f>
        <v>0</v>
      </c>
      <c r="Q177" s="120">
        <f t="shared" si="2"/>
        <v>0</v>
      </c>
    </row>
    <row r="178" spans="1:17" x14ac:dyDescent="0.25">
      <c r="A178" s="113"/>
      <c r="B178" s="114"/>
      <c r="C178" s="114"/>
      <c r="D178" s="115"/>
      <c r="E178" s="104"/>
      <c r="F178" s="117"/>
      <c r="G178" s="117"/>
      <c r="H178" s="117"/>
      <c r="I178" s="117"/>
      <c r="J178" s="117"/>
      <c r="K178" s="110"/>
      <c r="L178" s="110"/>
      <c r="M178" s="110"/>
      <c r="N178" s="110"/>
      <c r="O178" s="117"/>
      <c r="P178" s="119">
        <f t="array" ref="P178">LEN(D178)-SUM((LEN(D178)-LEN(SUBSTITUTE(D178,修饰列表!$B$2:$B$80,修饰列表!$D$2:$D$80))))</f>
        <v>0</v>
      </c>
      <c r="Q178" s="120">
        <f t="shared" si="2"/>
        <v>0</v>
      </c>
    </row>
    <row r="179" spans="1:17" x14ac:dyDescent="0.25">
      <c r="A179" s="113"/>
      <c r="B179" s="114"/>
      <c r="C179" s="114"/>
      <c r="D179" s="115"/>
      <c r="E179" s="104"/>
      <c r="F179" s="117"/>
      <c r="G179" s="117"/>
      <c r="H179" s="117"/>
      <c r="I179" s="117"/>
      <c r="J179" s="117"/>
      <c r="K179" s="110"/>
      <c r="L179" s="110"/>
      <c r="M179" s="110"/>
      <c r="N179" s="110"/>
      <c r="O179" s="117"/>
      <c r="P179" s="119">
        <f t="array" ref="P179">LEN(D179)-SUM((LEN(D179)-LEN(SUBSTITUTE(D179,修饰列表!$B$2:$B$80,修饰列表!$D$2:$D$80))))</f>
        <v>0</v>
      </c>
      <c r="Q179" s="120">
        <f t="shared" si="2"/>
        <v>0</v>
      </c>
    </row>
    <row r="180" spans="1:17" x14ac:dyDescent="0.25">
      <c r="A180" s="113"/>
      <c r="B180" s="114"/>
      <c r="C180" s="114"/>
      <c r="D180" s="115"/>
      <c r="E180" s="104"/>
      <c r="F180" s="117"/>
      <c r="G180" s="117"/>
      <c r="H180" s="117"/>
      <c r="I180" s="117"/>
      <c r="J180" s="117"/>
      <c r="K180" s="110"/>
      <c r="L180" s="110"/>
      <c r="M180" s="110"/>
      <c r="N180" s="110"/>
      <c r="O180" s="117"/>
      <c r="P180" s="119">
        <f t="array" ref="P180">LEN(D180)-SUM((LEN(D180)-LEN(SUBSTITUTE(D180,修饰列表!$B$2:$B$80,修饰列表!$D$2:$D$80))))</f>
        <v>0</v>
      </c>
      <c r="Q180" s="120">
        <f t="shared" si="2"/>
        <v>0</v>
      </c>
    </row>
    <row r="181" spans="1:17" x14ac:dyDescent="0.25">
      <c r="A181" s="113"/>
      <c r="B181" s="114"/>
      <c r="C181" s="114"/>
      <c r="D181" s="115"/>
      <c r="E181" s="104"/>
      <c r="F181" s="117"/>
      <c r="G181" s="117"/>
      <c r="H181" s="117"/>
      <c r="I181" s="117"/>
      <c r="J181" s="117"/>
      <c r="K181" s="110"/>
      <c r="L181" s="110"/>
      <c r="M181" s="110"/>
      <c r="N181" s="110"/>
      <c r="O181" s="117"/>
      <c r="P181" s="119">
        <f t="array" ref="P181">LEN(D181)-SUM((LEN(D181)-LEN(SUBSTITUTE(D181,修饰列表!$B$2:$B$80,修饰列表!$D$2:$D$80))))</f>
        <v>0</v>
      </c>
      <c r="Q181" s="120">
        <f t="shared" si="2"/>
        <v>0</v>
      </c>
    </row>
    <row r="182" spans="1:17" x14ac:dyDescent="0.25">
      <c r="A182" s="113"/>
      <c r="B182" s="114"/>
      <c r="C182" s="114"/>
      <c r="D182" s="115"/>
      <c r="E182" s="104"/>
      <c r="F182" s="117"/>
      <c r="G182" s="117"/>
      <c r="H182" s="117"/>
      <c r="I182" s="117"/>
      <c r="J182" s="117"/>
      <c r="K182" s="110"/>
      <c r="L182" s="110"/>
      <c r="M182" s="110"/>
      <c r="N182" s="110"/>
      <c r="O182" s="117"/>
      <c r="P182" s="119">
        <f t="array" ref="P182">LEN(D182)-SUM((LEN(D182)-LEN(SUBSTITUTE(D182,修饰列表!$B$2:$B$80,修饰列表!$D$2:$D$80))))</f>
        <v>0</v>
      </c>
      <c r="Q182" s="120">
        <f t="shared" si="2"/>
        <v>0</v>
      </c>
    </row>
    <row r="183" spans="1:17" x14ac:dyDescent="0.25">
      <c r="A183" s="113"/>
      <c r="B183" s="114"/>
      <c r="C183" s="114"/>
      <c r="D183" s="115"/>
      <c r="E183" s="104"/>
      <c r="F183" s="117"/>
      <c r="G183" s="117"/>
      <c r="H183" s="117"/>
      <c r="I183" s="117"/>
      <c r="J183" s="117"/>
      <c r="K183" s="110"/>
      <c r="L183" s="110"/>
      <c r="M183" s="110"/>
      <c r="N183" s="110"/>
      <c r="O183" s="117"/>
      <c r="P183" s="119">
        <f t="array" ref="P183">LEN(D183)-SUM((LEN(D183)-LEN(SUBSTITUTE(D183,修饰列表!$B$2:$B$80,修饰列表!$D$2:$D$80))))</f>
        <v>0</v>
      </c>
      <c r="Q183" s="120">
        <f t="shared" si="2"/>
        <v>0</v>
      </c>
    </row>
    <row r="184" spans="1:17" x14ac:dyDescent="0.25">
      <c r="A184" s="113"/>
      <c r="B184" s="114"/>
      <c r="C184" s="114"/>
      <c r="D184" s="115"/>
      <c r="E184" s="104"/>
      <c r="F184" s="117"/>
      <c r="G184" s="117"/>
      <c r="H184" s="117"/>
      <c r="I184" s="117"/>
      <c r="J184" s="117"/>
      <c r="K184" s="110"/>
      <c r="L184" s="110"/>
      <c r="M184" s="110"/>
      <c r="N184" s="110"/>
      <c r="O184" s="117"/>
      <c r="P184" s="119">
        <f t="array" ref="P184">LEN(D184)-SUM((LEN(D184)-LEN(SUBSTITUTE(D184,修饰列表!$B$2:$B$80,修饰列表!$D$2:$D$80))))</f>
        <v>0</v>
      </c>
      <c r="Q184" s="120">
        <f t="shared" si="2"/>
        <v>0</v>
      </c>
    </row>
    <row r="185" spans="1:17" x14ac:dyDescent="0.25">
      <c r="A185" s="113"/>
      <c r="B185" s="114"/>
      <c r="C185" s="114"/>
      <c r="D185" s="115"/>
      <c r="E185" s="104"/>
      <c r="F185" s="117"/>
      <c r="G185" s="117"/>
      <c r="H185" s="117"/>
      <c r="I185" s="117"/>
      <c r="J185" s="117"/>
      <c r="K185" s="110"/>
      <c r="L185" s="110"/>
      <c r="M185" s="110"/>
      <c r="N185" s="110"/>
      <c r="O185" s="117"/>
      <c r="P185" s="119">
        <f t="array" ref="P185">LEN(D185)-SUM((LEN(D185)-LEN(SUBSTITUTE(D185,修饰列表!$B$2:$B$80,修饰列表!$D$2:$D$80))))</f>
        <v>0</v>
      </c>
      <c r="Q185" s="120">
        <f t="shared" si="2"/>
        <v>0</v>
      </c>
    </row>
    <row r="186" spans="1:17" x14ac:dyDescent="0.25">
      <c r="A186" s="113"/>
      <c r="B186" s="114"/>
      <c r="C186" s="114"/>
      <c r="D186" s="115"/>
      <c r="E186" s="104"/>
      <c r="F186" s="117"/>
      <c r="G186" s="117"/>
      <c r="H186" s="117"/>
      <c r="I186" s="117"/>
      <c r="J186" s="117"/>
      <c r="K186" s="110"/>
      <c r="L186" s="110"/>
      <c r="M186" s="110"/>
      <c r="N186" s="110"/>
      <c r="O186" s="117"/>
      <c r="P186" s="119">
        <f t="array" ref="P186">LEN(D186)-SUM((LEN(D186)-LEN(SUBSTITUTE(D186,修饰列表!$B$2:$B$80,修饰列表!$D$2:$D$80))))</f>
        <v>0</v>
      </c>
      <c r="Q186" s="120">
        <f t="shared" si="2"/>
        <v>0</v>
      </c>
    </row>
    <row r="187" spans="1:17" x14ac:dyDescent="0.25">
      <c r="A187" s="113"/>
      <c r="B187" s="114"/>
      <c r="C187" s="114"/>
      <c r="D187" s="115"/>
      <c r="E187" s="104"/>
      <c r="F187" s="117"/>
      <c r="G187" s="117"/>
      <c r="H187" s="117"/>
      <c r="I187" s="117"/>
      <c r="J187" s="117"/>
      <c r="K187" s="110"/>
      <c r="L187" s="110"/>
      <c r="M187" s="110"/>
      <c r="N187" s="110"/>
      <c r="O187" s="117"/>
      <c r="P187" s="119">
        <f t="array" ref="P187">LEN(D187)-SUM((LEN(D187)-LEN(SUBSTITUTE(D187,修饰列表!$B$2:$B$80,修饰列表!$D$2:$D$80))))</f>
        <v>0</v>
      </c>
      <c r="Q187" s="120">
        <f t="shared" si="2"/>
        <v>0</v>
      </c>
    </row>
    <row r="188" spans="1:17" x14ac:dyDescent="0.25">
      <c r="A188" s="113"/>
      <c r="B188" s="114"/>
      <c r="C188" s="114"/>
      <c r="D188" s="115"/>
      <c r="E188" s="104"/>
      <c r="F188" s="117"/>
      <c r="G188" s="117"/>
      <c r="H188" s="117"/>
      <c r="I188" s="117"/>
      <c r="J188" s="117"/>
      <c r="K188" s="110"/>
      <c r="L188" s="110"/>
      <c r="M188" s="110"/>
      <c r="N188" s="110"/>
      <c r="O188" s="117"/>
      <c r="P188" s="119">
        <f t="array" ref="P188">LEN(D188)-SUM((LEN(D188)-LEN(SUBSTITUTE(D188,修饰列表!$B$2:$B$80,修饰列表!$D$2:$D$80))))</f>
        <v>0</v>
      </c>
      <c r="Q188" s="120">
        <f t="shared" si="2"/>
        <v>0</v>
      </c>
    </row>
    <row r="189" spans="1:17" x14ac:dyDescent="0.25">
      <c r="A189" s="113"/>
      <c r="B189" s="114"/>
      <c r="C189" s="114"/>
      <c r="D189" s="115"/>
      <c r="E189" s="104"/>
      <c r="F189" s="117"/>
      <c r="G189" s="117"/>
      <c r="H189" s="117"/>
      <c r="I189" s="117"/>
      <c r="J189" s="117"/>
      <c r="K189" s="110"/>
      <c r="L189" s="110"/>
      <c r="M189" s="110"/>
      <c r="N189" s="110"/>
      <c r="O189" s="117"/>
      <c r="P189" s="119">
        <f t="array" ref="P189">LEN(D189)-SUM((LEN(D189)-LEN(SUBSTITUTE(D189,修饰列表!$B$2:$B$80,修饰列表!$D$2:$D$80))))</f>
        <v>0</v>
      </c>
      <c r="Q189" s="120">
        <f t="shared" si="2"/>
        <v>0</v>
      </c>
    </row>
    <row r="190" spans="1:17" x14ac:dyDescent="0.25">
      <c r="A190" s="113"/>
      <c r="B190" s="114"/>
      <c r="C190" s="114"/>
      <c r="D190" s="115"/>
      <c r="E190" s="104"/>
      <c r="F190" s="117"/>
      <c r="G190" s="117"/>
      <c r="H190" s="117"/>
      <c r="I190" s="117"/>
      <c r="J190" s="117"/>
      <c r="K190" s="110"/>
      <c r="L190" s="110"/>
      <c r="M190" s="110"/>
      <c r="N190" s="110"/>
      <c r="O190" s="117"/>
      <c r="P190" s="119">
        <f t="array" ref="P190">LEN(D190)-SUM((LEN(D190)-LEN(SUBSTITUTE(D190,修饰列表!$B$2:$B$80,修饰列表!$D$2:$D$80))))</f>
        <v>0</v>
      </c>
      <c r="Q190" s="120">
        <f t="shared" si="2"/>
        <v>0</v>
      </c>
    </row>
    <row r="191" spans="1:17" x14ac:dyDescent="0.25">
      <c r="A191" s="113"/>
      <c r="B191" s="114"/>
      <c r="C191" s="114"/>
      <c r="D191" s="115"/>
      <c r="E191" s="104"/>
      <c r="F191" s="117"/>
      <c r="G191" s="117"/>
      <c r="H191" s="117"/>
      <c r="I191" s="117"/>
      <c r="J191" s="117"/>
      <c r="K191" s="110"/>
      <c r="L191" s="110"/>
      <c r="M191" s="110"/>
      <c r="N191" s="110"/>
      <c r="O191" s="117"/>
      <c r="P191" s="119">
        <f t="array" ref="P191">LEN(D191)-SUM((LEN(D191)-LEN(SUBSTITUTE(D191,修饰列表!$B$2:$B$80,修饰列表!$D$2:$D$80))))</f>
        <v>0</v>
      </c>
      <c r="Q191" s="120">
        <f t="shared" si="2"/>
        <v>0</v>
      </c>
    </row>
    <row r="192" spans="1:17" x14ac:dyDescent="0.25">
      <c r="A192" s="113"/>
      <c r="B192" s="114"/>
      <c r="C192" s="114"/>
      <c r="D192" s="115"/>
      <c r="E192" s="104"/>
      <c r="F192" s="117"/>
      <c r="G192" s="117"/>
      <c r="H192" s="117"/>
      <c r="I192" s="117"/>
      <c r="J192" s="117"/>
      <c r="K192" s="110"/>
      <c r="L192" s="110"/>
      <c r="M192" s="110"/>
      <c r="N192" s="110"/>
      <c r="O192" s="117"/>
      <c r="P192" s="119">
        <f t="array" ref="P192">LEN(D192)-SUM((LEN(D192)-LEN(SUBSTITUTE(D192,修饰列表!$B$2:$B$80,修饰列表!$D$2:$D$80))))</f>
        <v>0</v>
      </c>
      <c r="Q192" s="120">
        <f t="shared" si="2"/>
        <v>0</v>
      </c>
    </row>
    <row r="193" spans="1:17" x14ac:dyDescent="0.25">
      <c r="A193" s="113"/>
      <c r="B193" s="114"/>
      <c r="C193" s="114"/>
      <c r="D193" s="115"/>
      <c r="E193" s="104"/>
      <c r="F193" s="117"/>
      <c r="G193" s="117"/>
      <c r="H193" s="117"/>
      <c r="I193" s="117"/>
      <c r="J193" s="117"/>
      <c r="K193" s="110"/>
      <c r="L193" s="110"/>
      <c r="M193" s="110"/>
      <c r="N193" s="110"/>
      <c r="O193" s="117"/>
      <c r="P193" s="119">
        <f t="array" ref="P193">LEN(D193)-SUM((LEN(D193)-LEN(SUBSTITUTE(D193,修饰列表!$B$2:$B$80,修饰列表!$D$2:$D$80))))</f>
        <v>0</v>
      </c>
      <c r="Q193" s="120">
        <f t="shared" si="2"/>
        <v>0</v>
      </c>
    </row>
    <row r="194" spans="1:17" x14ac:dyDescent="0.25">
      <c r="A194" s="113"/>
      <c r="B194" s="114"/>
      <c r="C194" s="114"/>
      <c r="D194" s="115"/>
      <c r="E194" s="104"/>
      <c r="F194" s="117"/>
      <c r="G194" s="117"/>
      <c r="H194" s="117"/>
      <c r="I194" s="117"/>
      <c r="J194" s="117"/>
      <c r="K194" s="110"/>
      <c r="L194" s="110"/>
      <c r="M194" s="110"/>
      <c r="N194" s="110"/>
      <c r="O194" s="117"/>
      <c r="P194" s="119">
        <f t="array" ref="P194">LEN(D194)-SUM((LEN(D194)-LEN(SUBSTITUTE(D194,修饰列表!$B$2:$B$80,修饰列表!$D$2:$D$80))))</f>
        <v>0</v>
      </c>
      <c r="Q194" s="120">
        <f t="shared" si="2"/>
        <v>0</v>
      </c>
    </row>
    <row r="195" spans="1:17" x14ac:dyDescent="0.25">
      <c r="A195" s="113"/>
      <c r="B195" s="114"/>
      <c r="C195" s="114"/>
      <c r="D195" s="115"/>
      <c r="E195" s="104"/>
      <c r="F195" s="117"/>
      <c r="G195" s="117"/>
      <c r="H195" s="117"/>
      <c r="I195" s="117"/>
      <c r="J195" s="117"/>
      <c r="K195" s="110"/>
      <c r="L195" s="110"/>
      <c r="M195" s="110"/>
      <c r="N195" s="110"/>
      <c r="O195" s="117"/>
      <c r="P195" s="119">
        <f t="array" ref="P195">LEN(D195)-SUM((LEN(D195)-LEN(SUBSTITUTE(D195,修饰列表!$B$2:$B$80,修饰列表!$D$2:$D$80))))</f>
        <v>0</v>
      </c>
      <c r="Q195" s="120">
        <f t="shared" si="2"/>
        <v>0</v>
      </c>
    </row>
    <row r="196" spans="1:17" x14ac:dyDescent="0.25">
      <c r="A196" s="113"/>
      <c r="B196" s="114"/>
      <c r="C196" s="114"/>
      <c r="D196" s="115"/>
      <c r="E196" s="104"/>
      <c r="F196" s="117"/>
      <c r="G196" s="117"/>
      <c r="H196" s="117"/>
      <c r="I196" s="117"/>
      <c r="J196" s="117"/>
      <c r="K196" s="110"/>
      <c r="L196" s="110"/>
      <c r="M196" s="110"/>
      <c r="N196" s="110"/>
      <c r="O196" s="117"/>
      <c r="P196" s="119">
        <f t="array" ref="P196">LEN(D196)-SUM((LEN(D196)-LEN(SUBSTITUTE(D196,修饰列表!$B$2:$B$80,修饰列表!$D$2:$D$80))))</f>
        <v>0</v>
      </c>
      <c r="Q196" s="120">
        <f t="shared" si="2"/>
        <v>0</v>
      </c>
    </row>
    <row r="197" spans="1:17" x14ac:dyDescent="0.25">
      <c r="A197" s="113"/>
      <c r="B197" s="114"/>
      <c r="C197" s="114"/>
      <c r="D197" s="115"/>
      <c r="E197" s="104"/>
      <c r="F197" s="117"/>
      <c r="G197" s="117"/>
      <c r="H197" s="117"/>
      <c r="I197" s="117"/>
      <c r="J197" s="117"/>
      <c r="K197" s="110"/>
      <c r="L197" s="110"/>
      <c r="M197" s="110"/>
      <c r="N197" s="110"/>
      <c r="O197" s="117"/>
      <c r="P197" s="119">
        <f t="array" ref="P197">LEN(D197)-SUM((LEN(D197)-LEN(SUBSTITUTE(D197,修饰列表!$B$2:$B$80,修饰列表!$D$2:$D$80))))</f>
        <v>0</v>
      </c>
      <c r="Q197" s="120">
        <f t="shared" si="2"/>
        <v>0</v>
      </c>
    </row>
    <row r="198" spans="1:17" x14ac:dyDescent="0.25">
      <c r="A198" s="113"/>
      <c r="B198" s="114"/>
      <c r="C198" s="114"/>
      <c r="D198" s="115"/>
      <c r="E198" s="104"/>
      <c r="F198" s="117"/>
      <c r="G198" s="117"/>
      <c r="H198" s="117"/>
      <c r="I198" s="117"/>
      <c r="J198" s="117"/>
      <c r="K198" s="110"/>
      <c r="L198" s="110"/>
      <c r="M198" s="110"/>
      <c r="N198" s="110"/>
      <c r="O198" s="117"/>
      <c r="P198" s="119">
        <f t="array" ref="P198">LEN(D198)-SUM((LEN(D198)-LEN(SUBSTITUTE(D198,修饰列表!$B$2:$B$80,修饰列表!$D$2:$D$80))))</f>
        <v>0</v>
      </c>
      <c r="Q198" s="120">
        <f t="shared" si="2"/>
        <v>0</v>
      </c>
    </row>
    <row r="199" spans="1:17" x14ac:dyDescent="0.25">
      <c r="A199" s="113"/>
      <c r="B199" s="114"/>
      <c r="C199" s="114"/>
      <c r="D199" s="115"/>
      <c r="E199" s="104"/>
      <c r="F199" s="117"/>
      <c r="G199" s="117"/>
      <c r="H199" s="117"/>
      <c r="I199" s="117"/>
      <c r="J199" s="117"/>
      <c r="K199" s="110"/>
      <c r="L199" s="110"/>
      <c r="M199" s="110"/>
      <c r="N199" s="110"/>
      <c r="O199" s="117"/>
      <c r="P199" s="119">
        <f t="array" ref="P199">LEN(D199)-SUM((LEN(D199)-LEN(SUBSTITUTE(D199,修饰列表!$B$2:$B$80,修饰列表!$D$2:$D$80))))</f>
        <v>0</v>
      </c>
      <c r="Q199" s="120">
        <f t="shared" si="2"/>
        <v>0</v>
      </c>
    </row>
    <row r="200" spans="1:17" x14ac:dyDescent="0.25">
      <c r="A200" s="113"/>
      <c r="B200" s="114"/>
      <c r="C200" s="114"/>
      <c r="D200" s="115"/>
      <c r="E200" s="104"/>
      <c r="F200" s="117"/>
      <c r="G200" s="117"/>
      <c r="H200" s="117"/>
      <c r="I200" s="117"/>
      <c r="J200" s="117"/>
      <c r="K200" s="110"/>
      <c r="L200" s="110"/>
      <c r="M200" s="110"/>
      <c r="N200" s="110"/>
      <c r="O200" s="117"/>
      <c r="P200" s="119">
        <f t="array" ref="P200">LEN(D200)-SUM((LEN(D200)-LEN(SUBSTITUTE(D200,修饰列表!$B$2:$B$80,修饰列表!$D$2:$D$80))))</f>
        <v>0</v>
      </c>
      <c r="Q200" s="120">
        <f t="shared" si="2"/>
        <v>0</v>
      </c>
    </row>
    <row r="201" spans="1:17" x14ac:dyDescent="0.25">
      <c r="A201" s="113"/>
      <c r="B201" s="114"/>
      <c r="C201" s="114"/>
      <c r="D201" s="115"/>
      <c r="E201" s="104"/>
      <c r="F201" s="117"/>
      <c r="G201" s="117"/>
      <c r="H201" s="117"/>
      <c r="I201" s="117"/>
      <c r="J201" s="117"/>
      <c r="K201" s="110"/>
      <c r="L201" s="110"/>
      <c r="M201" s="110"/>
      <c r="N201" s="110"/>
      <c r="O201" s="117"/>
      <c r="P201" s="119">
        <f t="array" ref="P201">LEN(D201)-SUM((LEN(D201)-LEN(SUBSTITUTE(D201,修饰列表!$B$2:$B$80,修饰列表!$D$2:$D$80))))</f>
        <v>0</v>
      </c>
      <c r="Q201" s="120">
        <f t="shared" si="2"/>
        <v>0</v>
      </c>
    </row>
    <row r="202" spans="1:17" x14ac:dyDescent="0.25">
      <c r="A202" s="113"/>
      <c r="B202" s="114"/>
      <c r="C202" s="114"/>
      <c r="D202" s="115"/>
      <c r="E202" s="104"/>
      <c r="F202" s="117"/>
      <c r="G202" s="117"/>
      <c r="H202" s="117"/>
      <c r="I202" s="117"/>
      <c r="J202" s="117"/>
      <c r="K202" s="110"/>
      <c r="L202" s="110"/>
      <c r="M202" s="110"/>
      <c r="N202" s="110"/>
      <c r="O202" s="117"/>
      <c r="P202" s="119">
        <f t="array" ref="P202">LEN(D202)-SUM((LEN(D202)-LEN(SUBSTITUTE(D202,修饰列表!$B$2:$B$80,修饰列表!$D$2:$D$80))))</f>
        <v>0</v>
      </c>
      <c r="Q202" s="120">
        <f t="shared" si="2"/>
        <v>0</v>
      </c>
    </row>
    <row r="203" spans="1:17" x14ac:dyDescent="0.25">
      <c r="A203" s="113"/>
      <c r="B203" s="114"/>
      <c r="C203" s="114"/>
      <c r="D203" s="115"/>
      <c r="E203" s="104"/>
      <c r="F203" s="117"/>
      <c r="G203" s="117"/>
      <c r="H203" s="117"/>
      <c r="I203" s="117"/>
      <c r="J203" s="117"/>
      <c r="K203" s="110"/>
      <c r="L203" s="110"/>
      <c r="M203" s="110"/>
      <c r="N203" s="110"/>
      <c r="O203" s="117"/>
      <c r="P203" s="119">
        <f t="array" ref="P203">LEN(D203)-SUM((LEN(D203)-LEN(SUBSTITUTE(D203,修饰列表!$B$2:$B$80,修饰列表!$D$2:$D$80))))</f>
        <v>0</v>
      </c>
      <c r="Q203" s="120">
        <f t="shared" si="2"/>
        <v>0</v>
      </c>
    </row>
    <row r="204" spans="1:17" x14ac:dyDescent="0.25">
      <c r="A204" s="113"/>
      <c r="B204" s="114"/>
      <c r="C204" s="114"/>
      <c r="D204" s="115"/>
      <c r="E204" s="104"/>
      <c r="F204" s="117"/>
      <c r="G204" s="117"/>
      <c r="H204" s="117"/>
      <c r="I204" s="117"/>
      <c r="J204" s="117"/>
      <c r="K204" s="110"/>
      <c r="L204" s="110"/>
      <c r="M204" s="110"/>
      <c r="N204" s="110"/>
      <c r="O204" s="117"/>
      <c r="P204" s="119">
        <f t="array" ref="P204">LEN(D204)-SUM((LEN(D204)-LEN(SUBSTITUTE(D204,修饰列表!$B$2:$B$80,修饰列表!$D$2:$D$80))))</f>
        <v>0</v>
      </c>
      <c r="Q204" s="120">
        <f t="shared" si="2"/>
        <v>0</v>
      </c>
    </row>
    <row r="205" spans="1:17" x14ac:dyDescent="0.25">
      <c r="A205" s="113"/>
      <c r="B205" s="114"/>
      <c r="C205" s="114"/>
      <c r="D205" s="115"/>
      <c r="E205" s="104"/>
      <c r="F205" s="117"/>
      <c r="G205" s="117"/>
      <c r="H205" s="117"/>
      <c r="I205" s="117"/>
      <c r="J205" s="117"/>
      <c r="K205" s="110"/>
      <c r="L205" s="110"/>
      <c r="M205" s="110"/>
      <c r="N205" s="110"/>
      <c r="O205" s="117"/>
      <c r="P205" s="119">
        <f t="array" ref="P205">LEN(D205)-SUM((LEN(D205)-LEN(SUBSTITUTE(D205,修饰列表!$B$2:$B$80,修饰列表!$D$2:$D$80))))</f>
        <v>0</v>
      </c>
      <c r="Q205" s="120">
        <f t="shared" si="2"/>
        <v>0</v>
      </c>
    </row>
    <row r="206" spans="1:17" x14ac:dyDescent="0.25">
      <c r="A206" s="113"/>
      <c r="B206" s="114"/>
      <c r="C206" s="114"/>
      <c r="D206" s="115"/>
      <c r="E206" s="104"/>
      <c r="F206" s="117"/>
      <c r="G206" s="117"/>
      <c r="H206" s="117"/>
      <c r="I206" s="117"/>
      <c r="J206" s="117"/>
      <c r="K206" s="110"/>
      <c r="L206" s="110"/>
      <c r="M206" s="110"/>
      <c r="N206" s="110"/>
      <c r="O206" s="117"/>
      <c r="P206" s="119">
        <f t="array" ref="P206">LEN(D206)-SUM((LEN(D206)-LEN(SUBSTITUTE(D206,修饰列表!$B$2:$B$80,修饰列表!$D$2:$D$80))))</f>
        <v>0</v>
      </c>
      <c r="Q206" s="120">
        <f t="shared" si="2"/>
        <v>0</v>
      </c>
    </row>
    <row r="207" spans="1:17" x14ac:dyDescent="0.25">
      <c r="A207" s="113"/>
      <c r="B207" s="114"/>
      <c r="C207" s="114"/>
      <c r="D207" s="115"/>
      <c r="E207" s="104"/>
      <c r="F207" s="117"/>
      <c r="G207" s="117"/>
      <c r="H207" s="117"/>
      <c r="I207" s="117"/>
      <c r="J207" s="117"/>
      <c r="K207" s="110"/>
      <c r="L207" s="110"/>
      <c r="M207" s="110"/>
      <c r="N207" s="110"/>
      <c r="O207" s="117"/>
      <c r="P207" s="119">
        <f t="array" ref="P207">LEN(D207)-SUM((LEN(D207)-LEN(SUBSTITUTE(D207,修饰列表!$B$2:$B$80,修饰列表!$D$2:$D$80))))</f>
        <v>0</v>
      </c>
      <c r="Q207" s="120">
        <f t="shared" si="2"/>
        <v>0</v>
      </c>
    </row>
    <row r="208" spans="1:17" x14ac:dyDescent="0.25">
      <c r="A208" s="113"/>
      <c r="B208" s="114"/>
      <c r="C208" s="114"/>
      <c r="D208" s="115"/>
      <c r="E208" s="104"/>
      <c r="F208" s="117"/>
      <c r="G208" s="117"/>
      <c r="H208" s="117"/>
      <c r="I208" s="117"/>
      <c r="J208" s="117"/>
      <c r="K208" s="110"/>
      <c r="L208" s="110"/>
      <c r="M208" s="110"/>
      <c r="N208" s="110"/>
      <c r="O208" s="117"/>
      <c r="P208" s="119">
        <f t="array" ref="P208">LEN(D208)-SUM((LEN(D208)-LEN(SUBSTITUTE(D208,修饰列表!$B$2:$B$80,修饰列表!$D$2:$D$80))))</f>
        <v>0</v>
      </c>
      <c r="Q208" s="120">
        <f t="shared" si="2"/>
        <v>0</v>
      </c>
    </row>
    <row r="209" spans="1:17" x14ac:dyDescent="0.25">
      <c r="A209" s="113"/>
      <c r="B209" s="114"/>
      <c r="C209" s="114"/>
      <c r="D209" s="115"/>
      <c r="E209" s="104"/>
      <c r="F209" s="117"/>
      <c r="G209" s="117"/>
      <c r="H209" s="117"/>
      <c r="I209" s="117"/>
      <c r="J209" s="117"/>
      <c r="K209" s="110"/>
      <c r="L209" s="110"/>
      <c r="M209" s="110"/>
      <c r="N209" s="110"/>
      <c r="O209" s="117"/>
      <c r="P209" s="119">
        <f t="array" ref="P209">LEN(D209)-SUM((LEN(D209)-LEN(SUBSTITUTE(D209,修饰列表!$B$2:$B$80,修饰列表!$D$2:$D$80))))</f>
        <v>0</v>
      </c>
      <c r="Q209" s="120">
        <f t="shared" si="2"/>
        <v>0</v>
      </c>
    </row>
    <row r="210" spans="1:17" x14ac:dyDescent="0.25">
      <c r="A210" s="113"/>
      <c r="B210" s="114"/>
      <c r="C210" s="114"/>
      <c r="D210" s="115"/>
      <c r="E210" s="104"/>
      <c r="F210" s="117"/>
      <c r="G210" s="117"/>
      <c r="H210" s="117"/>
      <c r="I210" s="117"/>
      <c r="J210" s="117"/>
      <c r="K210" s="110"/>
      <c r="L210" s="110"/>
      <c r="M210" s="110"/>
      <c r="N210" s="110"/>
      <c r="O210" s="117"/>
      <c r="P210" s="119">
        <f t="array" ref="P210">LEN(D210)-SUM((LEN(D210)-LEN(SUBSTITUTE(D210,修饰列表!$B$2:$B$80,修饰列表!$D$2:$D$80))))</f>
        <v>0</v>
      </c>
      <c r="Q210" s="120">
        <f t="shared" si="2"/>
        <v>0</v>
      </c>
    </row>
    <row r="211" spans="1:17" x14ac:dyDescent="0.25">
      <c r="A211" s="113"/>
      <c r="B211" s="114"/>
      <c r="C211" s="114"/>
      <c r="D211" s="115"/>
      <c r="E211" s="104"/>
      <c r="F211" s="117"/>
      <c r="G211" s="117"/>
      <c r="H211" s="117"/>
      <c r="I211" s="117"/>
      <c r="J211" s="117"/>
      <c r="K211" s="110"/>
      <c r="L211" s="110"/>
      <c r="M211" s="110"/>
      <c r="N211" s="110"/>
      <c r="O211" s="117"/>
      <c r="P211" s="119">
        <f t="array" ref="P211">LEN(D211)-SUM((LEN(D211)-LEN(SUBSTITUTE(D211,修饰列表!$B$2:$B$80,修饰列表!$D$2:$D$80))))</f>
        <v>0</v>
      </c>
      <c r="Q211" s="120">
        <f t="shared" si="2"/>
        <v>0</v>
      </c>
    </row>
    <row r="212" spans="1:17" x14ac:dyDescent="0.25">
      <c r="A212" s="113"/>
      <c r="B212" s="114"/>
      <c r="C212" s="114"/>
      <c r="D212" s="115"/>
      <c r="E212" s="104"/>
      <c r="F212" s="117"/>
      <c r="G212" s="117"/>
      <c r="H212" s="117"/>
      <c r="I212" s="117"/>
      <c r="J212" s="117"/>
      <c r="K212" s="110"/>
      <c r="L212" s="110"/>
      <c r="M212" s="110"/>
      <c r="N212" s="110"/>
      <c r="O212" s="117"/>
      <c r="P212" s="119">
        <f t="array" ref="P212">LEN(D212)-SUM((LEN(D212)-LEN(SUBSTITUTE(D212,修饰列表!$B$2:$B$80,修饰列表!$D$2:$D$80))))</f>
        <v>0</v>
      </c>
      <c r="Q212" s="120">
        <f t="shared" si="2"/>
        <v>0</v>
      </c>
    </row>
    <row r="213" spans="1:17" x14ac:dyDescent="0.25">
      <c r="A213" s="113"/>
      <c r="B213" s="114"/>
      <c r="C213" s="114"/>
      <c r="D213" s="115"/>
      <c r="E213" s="104"/>
      <c r="F213" s="117"/>
      <c r="G213" s="117"/>
      <c r="H213" s="117"/>
      <c r="I213" s="117"/>
      <c r="J213" s="117"/>
      <c r="K213" s="110"/>
      <c r="L213" s="110"/>
      <c r="M213" s="110"/>
      <c r="N213" s="110"/>
      <c r="O213" s="117"/>
      <c r="P213" s="119">
        <f t="array" ref="P213">LEN(D213)-SUM((LEN(D213)-LEN(SUBSTITUTE(D213,修饰列表!$B$2:$B$80,修饰列表!$D$2:$D$80))))</f>
        <v>0</v>
      </c>
      <c r="Q213" s="120">
        <f t="shared" ref="Q213:Q276" si="3">IF(I213="",H213*J213,H213*I213)</f>
        <v>0</v>
      </c>
    </row>
    <row r="214" spans="1:17" x14ac:dyDescent="0.25">
      <c r="A214" s="113"/>
      <c r="B214" s="114"/>
      <c r="C214" s="114"/>
      <c r="D214" s="115"/>
      <c r="E214" s="104"/>
      <c r="F214" s="117"/>
      <c r="G214" s="117"/>
      <c r="H214" s="117"/>
      <c r="I214" s="117"/>
      <c r="J214" s="117"/>
      <c r="K214" s="110"/>
      <c r="L214" s="110"/>
      <c r="M214" s="110"/>
      <c r="N214" s="110"/>
      <c r="O214" s="117"/>
      <c r="P214" s="119">
        <f t="array" ref="P214">LEN(D214)-SUM((LEN(D214)-LEN(SUBSTITUTE(D214,修饰列表!$B$2:$B$80,修饰列表!$D$2:$D$80))))</f>
        <v>0</v>
      </c>
      <c r="Q214" s="120">
        <f t="shared" si="3"/>
        <v>0</v>
      </c>
    </row>
    <row r="215" spans="1:17" x14ac:dyDescent="0.25">
      <c r="A215" s="113"/>
      <c r="B215" s="114"/>
      <c r="C215" s="114"/>
      <c r="D215" s="115"/>
      <c r="E215" s="104"/>
      <c r="F215" s="117"/>
      <c r="G215" s="117"/>
      <c r="H215" s="117"/>
      <c r="I215" s="117"/>
      <c r="J215" s="117"/>
      <c r="K215" s="110"/>
      <c r="L215" s="110"/>
      <c r="M215" s="110"/>
      <c r="N215" s="110"/>
      <c r="O215" s="117"/>
      <c r="P215" s="119">
        <f t="array" ref="P215">LEN(D215)-SUM((LEN(D215)-LEN(SUBSTITUTE(D215,修饰列表!$B$2:$B$80,修饰列表!$D$2:$D$80))))</f>
        <v>0</v>
      </c>
      <c r="Q215" s="120">
        <f t="shared" si="3"/>
        <v>0</v>
      </c>
    </row>
    <row r="216" spans="1:17" x14ac:dyDescent="0.25">
      <c r="A216" s="113"/>
      <c r="B216" s="114"/>
      <c r="C216" s="114"/>
      <c r="D216" s="115"/>
      <c r="E216" s="104"/>
      <c r="F216" s="117"/>
      <c r="G216" s="117"/>
      <c r="H216" s="117"/>
      <c r="I216" s="117"/>
      <c r="J216" s="117"/>
      <c r="K216" s="110"/>
      <c r="L216" s="110"/>
      <c r="M216" s="110"/>
      <c r="N216" s="110"/>
      <c r="O216" s="117"/>
      <c r="P216" s="119">
        <f t="array" ref="P216">LEN(D216)-SUM((LEN(D216)-LEN(SUBSTITUTE(D216,修饰列表!$B$2:$B$80,修饰列表!$D$2:$D$80))))</f>
        <v>0</v>
      </c>
      <c r="Q216" s="120">
        <f t="shared" si="3"/>
        <v>0</v>
      </c>
    </row>
    <row r="217" spans="1:17" x14ac:dyDescent="0.25">
      <c r="A217" s="113"/>
      <c r="B217" s="114"/>
      <c r="C217" s="114"/>
      <c r="D217" s="115"/>
      <c r="E217" s="104"/>
      <c r="F217" s="117"/>
      <c r="G217" s="117"/>
      <c r="H217" s="117"/>
      <c r="I217" s="117"/>
      <c r="J217" s="117"/>
      <c r="K217" s="110"/>
      <c r="L217" s="110"/>
      <c r="M217" s="110"/>
      <c r="N217" s="110"/>
      <c r="O217" s="117"/>
      <c r="P217" s="119">
        <f t="array" ref="P217">LEN(D217)-SUM((LEN(D217)-LEN(SUBSTITUTE(D217,修饰列表!$B$2:$B$80,修饰列表!$D$2:$D$80))))</f>
        <v>0</v>
      </c>
      <c r="Q217" s="120">
        <f t="shared" si="3"/>
        <v>0</v>
      </c>
    </row>
    <row r="218" spans="1:17" x14ac:dyDescent="0.25">
      <c r="A218" s="113"/>
      <c r="B218" s="114"/>
      <c r="C218" s="114"/>
      <c r="D218" s="115"/>
      <c r="E218" s="104"/>
      <c r="F218" s="117"/>
      <c r="G218" s="117"/>
      <c r="H218" s="117"/>
      <c r="I218" s="117"/>
      <c r="J218" s="117"/>
      <c r="K218" s="110"/>
      <c r="L218" s="110"/>
      <c r="M218" s="110"/>
      <c r="N218" s="110"/>
      <c r="O218" s="117"/>
      <c r="P218" s="119">
        <f t="array" ref="P218">LEN(D218)-SUM((LEN(D218)-LEN(SUBSTITUTE(D218,修饰列表!$B$2:$B$80,修饰列表!$D$2:$D$80))))</f>
        <v>0</v>
      </c>
      <c r="Q218" s="120">
        <f t="shared" si="3"/>
        <v>0</v>
      </c>
    </row>
    <row r="219" spans="1:17" x14ac:dyDescent="0.25">
      <c r="A219" s="113"/>
      <c r="B219" s="114"/>
      <c r="C219" s="114"/>
      <c r="D219" s="115"/>
      <c r="E219" s="104"/>
      <c r="F219" s="117"/>
      <c r="G219" s="117"/>
      <c r="H219" s="117"/>
      <c r="I219" s="117"/>
      <c r="J219" s="117"/>
      <c r="K219" s="110"/>
      <c r="L219" s="110"/>
      <c r="M219" s="110"/>
      <c r="N219" s="110"/>
      <c r="O219" s="117"/>
      <c r="P219" s="119">
        <f t="array" ref="P219">LEN(D219)-SUM((LEN(D219)-LEN(SUBSTITUTE(D219,修饰列表!$B$2:$B$80,修饰列表!$D$2:$D$80))))</f>
        <v>0</v>
      </c>
      <c r="Q219" s="120">
        <f t="shared" si="3"/>
        <v>0</v>
      </c>
    </row>
    <row r="220" spans="1:17" x14ac:dyDescent="0.25">
      <c r="A220" s="113"/>
      <c r="B220" s="114"/>
      <c r="C220" s="114"/>
      <c r="D220" s="115"/>
      <c r="E220" s="104"/>
      <c r="F220" s="117"/>
      <c r="G220" s="117"/>
      <c r="H220" s="117"/>
      <c r="I220" s="117"/>
      <c r="J220" s="117"/>
      <c r="K220" s="110"/>
      <c r="L220" s="110"/>
      <c r="M220" s="110"/>
      <c r="N220" s="110"/>
      <c r="O220" s="117"/>
      <c r="P220" s="119">
        <f t="array" ref="P220">LEN(D40)-SUM((LEN(D40)-LEN(SUBSTITUTE(D40,修饰列表!$B$2:$B$80,修饰列表!$D$2:$D$80))))</f>
        <v>0</v>
      </c>
      <c r="Q220" s="120">
        <f t="shared" ref="Q220:Q229" si="4">IF(I40="",H40*J40,H40*I40)</f>
        <v>0</v>
      </c>
    </row>
    <row r="221" spans="1:17" x14ac:dyDescent="0.25">
      <c r="A221" s="113"/>
      <c r="B221" s="114"/>
      <c r="C221" s="114"/>
      <c r="D221" s="115"/>
      <c r="E221" s="104"/>
      <c r="F221" s="117"/>
      <c r="G221" s="117"/>
      <c r="H221" s="117"/>
      <c r="I221" s="117"/>
      <c r="J221" s="117"/>
      <c r="K221" s="110"/>
      <c r="L221" s="110"/>
      <c r="M221" s="110"/>
      <c r="N221" s="110"/>
      <c r="O221" s="117"/>
      <c r="P221" s="119">
        <f t="array" ref="P221">LEN(D41)-SUM((LEN(D41)-LEN(SUBSTITUTE(D41,修饰列表!$B$2:$B$80,修饰列表!$D$2:$D$80))))</f>
        <v>0</v>
      </c>
      <c r="Q221" s="120">
        <f t="shared" si="4"/>
        <v>0</v>
      </c>
    </row>
    <row r="222" spans="1:17" x14ac:dyDescent="0.25">
      <c r="A222" s="113"/>
      <c r="B222" s="114"/>
      <c r="C222" s="114"/>
      <c r="D222" s="115"/>
      <c r="E222" s="104"/>
      <c r="F222" s="117"/>
      <c r="G222" s="117"/>
      <c r="H222" s="117"/>
      <c r="I222" s="117"/>
      <c r="J222" s="117"/>
      <c r="K222" s="110"/>
      <c r="L222" s="110"/>
      <c r="M222" s="110"/>
      <c r="N222" s="110"/>
      <c r="O222" s="117"/>
      <c r="P222" s="119">
        <f t="array" ref="P222">LEN(D42)-SUM((LEN(D42)-LEN(SUBSTITUTE(D42,修饰列表!$B$2:$B$80,修饰列表!$D$2:$D$80))))</f>
        <v>0</v>
      </c>
      <c r="Q222" s="120">
        <f t="shared" si="4"/>
        <v>0</v>
      </c>
    </row>
    <row r="223" spans="1:17" x14ac:dyDescent="0.25">
      <c r="A223" s="113"/>
      <c r="B223" s="114"/>
      <c r="C223" s="114"/>
      <c r="D223" s="115"/>
      <c r="E223" s="104"/>
      <c r="F223" s="117"/>
      <c r="G223" s="117"/>
      <c r="H223" s="117"/>
      <c r="I223" s="117"/>
      <c r="J223" s="117"/>
      <c r="K223" s="110"/>
      <c r="L223" s="110"/>
      <c r="M223" s="110"/>
      <c r="N223" s="110"/>
      <c r="O223" s="117"/>
      <c r="P223" s="119">
        <f t="array" ref="P223">LEN(D43)-SUM((LEN(D43)-LEN(SUBSTITUTE(D43,修饰列表!$B$2:$B$80,修饰列表!$D$2:$D$80))))</f>
        <v>0</v>
      </c>
      <c r="Q223" s="120">
        <f t="shared" si="4"/>
        <v>0</v>
      </c>
    </row>
    <row r="224" spans="1:17" x14ac:dyDescent="0.25">
      <c r="A224" s="113"/>
      <c r="B224" s="114"/>
      <c r="C224" s="114"/>
      <c r="D224" s="115"/>
      <c r="E224" s="104"/>
      <c r="F224" s="117"/>
      <c r="G224" s="117"/>
      <c r="H224" s="117"/>
      <c r="I224" s="117"/>
      <c r="J224" s="117"/>
      <c r="K224" s="110"/>
      <c r="L224" s="110"/>
      <c r="M224" s="110"/>
      <c r="N224" s="110"/>
      <c r="O224" s="117"/>
      <c r="P224" s="119">
        <f t="array" ref="P224">LEN(D44)-SUM((LEN(D44)-LEN(SUBSTITUTE(D44,修饰列表!$B$2:$B$80,修饰列表!$D$2:$D$80))))</f>
        <v>0</v>
      </c>
      <c r="Q224" s="120">
        <f t="shared" si="4"/>
        <v>0</v>
      </c>
    </row>
    <row r="225" spans="1:17" x14ac:dyDescent="0.25">
      <c r="A225" s="113"/>
      <c r="B225" s="114"/>
      <c r="C225" s="114"/>
      <c r="D225" s="115"/>
      <c r="E225" s="104"/>
      <c r="F225" s="117"/>
      <c r="G225" s="117"/>
      <c r="H225" s="117"/>
      <c r="I225" s="117"/>
      <c r="J225" s="117"/>
      <c r="K225" s="110"/>
      <c r="L225" s="110"/>
      <c r="M225" s="110"/>
      <c r="N225" s="110"/>
      <c r="O225" s="117"/>
      <c r="P225" s="119">
        <f t="array" ref="P225">LEN(D45)-SUM((LEN(D45)-LEN(SUBSTITUTE(D45,修饰列表!$B$2:$B$80,修饰列表!$D$2:$D$80))))</f>
        <v>0</v>
      </c>
      <c r="Q225" s="120">
        <f t="shared" si="4"/>
        <v>0</v>
      </c>
    </row>
    <row r="226" spans="1:17" x14ac:dyDescent="0.25">
      <c r="A226" s="113"/>
      <c r="B226" s="114"/>
      <c r="C226" s="114"/>
      <c r="D226" s="115"/>
      <c r="E226" s="104"/>
      <c r="F226" s="117"/>
      <c r="G226" s="117"/>
      <c r="H226" s="117"/>
      <c r="I226" s="117"/>
      <c r="J226" s="117"/>
      <c r="K226" s="110"/>
      <c r="L226" s="110"/>
      <c r="M226" s="110"/>
      <c r="N226" s="110"/>
      <c r="O226" s="117"/>
      <c r="P226" s="119">
        <f t="array" ref="P226">LEN(D46)-SUM((LEN(D46)-LEN(SUBSTITUTE(D46,修饰列表!$B$2:$B$80,修饰列表!$D$2:$D$80))))</f>
        <v>0</v>
      </c>
      <c r="Q226" s="120">
        <f t="shared" si="4"/>
        <v>0</v>
      </c>
    </row>
    <row r="227" spans="1:17" x14ac:dyDescent="0.25">
      <c r="A227" s="113"/>
      <c r="B227" s="114"/>
      <c r="C227" s="114"/>
      <c r="D227" s="115"/>
      <c r="E227" s="104"/>
      <c r="F227" s="117"/>
      <c r="G227" s="117"/>
      <c r="H227" s="117"/>
      <c r="I227" s="117"/>
      <c r="J227" s="117"/>
      <c r="K227" s="110"/>
      <c r="L227" s="110"/>
      <c r="M227" s="110"/>
      <c r="N227" s="110"/>
      <c r="O227" s="117"/>
      <c r="P227" s="119">
        <f t="array" ref="P227">LEN(D47)-SUM((LEN(D47)-LEN(SUBSTITUTE(D47,修饰列表!$B$2:$B$80,修饰列表!$D$2:$D$80))))</f>
        <v>0</v>
      </c>
      <c r="Q227" s="120">
        <f t="shared" si="4"/>
        <v>0</v>
      </c>
    </row>
    <row r="228" spans="1:17" x14ac:dyDescent="0.25">
      <c r="A228" s="113"/>
      <c r="B228" s="114"/>
      <c r="C228" s="114"/>
      <c r="D228" s="115"/>
      <c r="E228" s="104"/>
      <c r="F228" s="117"/>
      <c r="G228" s="117"/>
      <c r="H228" s="117"/>
      <c r="I228" s="117"/>
      <c r="J228" s="117"/>
      <c r="K228" s="110"/>
      <c r="L228" s="110"/>
      <c r="M228" s="110"/>
      <c r="N228" s="110"/>
      <c r="O228" s="117"/>
      <c r="P228" s="119">
        <f t="array" ref="P228">LEN(D48)-SUM((LEN(D48)-LEN(SUBSTITUTE(D48,修饰列表!$B$2:$B$80,修饰列表!$D$2:$D$80))))</f>
        <v>0</v>
      </c>
      <c r="Q228" s="120">
        <f t="shared" si="4"/>
        <v>0</v>
      </c>
    </row>
    <row r="229" spans="1:17" x14ac:dyDescent="0.25">
      <c r="A229" s="113"/>
      <c r="B229" s="114"/>
      <c r="C229" s="114"/>
      <c r="D229" s="115"/>
      <c r="E229" s="104"/>
      <c r="F229" s="117"/>
      <c r="G229" s="117"/>
      <c r="H229" s="117"/>
      <c r="I229" s="117"/>
      <c r="J229" s="117"/>
      <c r="K229" s="110"/>
      <c r="L229" s="110"/>
      <c r="M229" s="110"/>
      <c r="N229" s="110"/>
      <c r="O229" s="117"/>
      <c r="P229" s="119">
        <f t="array" ref="P229">LEN(D49)-SUM((LEN(D49)-LEN(SUBSTITUTE(D49,修饰列表!$B$2:$B$80,修饰列表!$D$2:$D$80))))</f>
        <v>0</v>
      </c>
      <c r="Q229" s="120">
        <f t="shared" si="4"/>
        <v>0</v>
      </c>
    </row>
    <row r="230" spans="1:17" x14ac:dyDescent="0.25">
      <c r="A230" s="113"/>
      <c r="B230" s="114"/>
      <c r="C230" s="114"/>
      <c r="D230" s="115"/>
      <c r="E230" s="104"/>
      <c r="F230" s="117"/>
      <c r="G230" s="117"/>
      <c r="H230" s="117"/>
      <c r="I230" s="117"/>
      <c r="J230" s="117"/>
      <c r="K230" s="110"/>
      <c r="L230" s="110"/>
      <c r="M230" s="110"/>
      <c r="N230" s="110"/>
      <c r="O230" s="117"/>
      <c r="P230" s="119">
        <f t="array" ref="P230">LEN(D230)-SUM((LEN(D230)-LEN(SUBSTITUTE(D230,修饰列表!$B$2:$B$80,修饰列表!$D$2:$D$80))))</f>
        <v>0</v>
      </c>
      <c r="Q230" s="120">
        <f t="shared" si="3"/>
        <v>0</v>
      </c>
    </row>
    <row r="231" spans="1:17" x14ac:dyDescent="0.25">
      <c r="A231" s="113"/>
      <c r="B231" s="114"/>
      <c r="C231" s="114"/>
      <c r="D231" s="115"/>
      <c r="E231" s="104"/>
      <c r="F231" s="117"/>
      <c r="G231" s="117"/>
      <c r="H231" s="117"/>
      <c r="I231" s="117"/>
      <c r="J231" s="117"/>
      <c r="K231" s="110"/>
      <c r="L231" s="110"/>
      <c r="M231" s="110"/>
      <c r="N231" s="110"/>
      <c r="O231" s="117"/>
      <c r="P231" s="119">
        <f t="array" ref="P231">LEN(D231)-SUM((LEN(D231)-LEN(SUBSTITUTE(D231,修饰列表!$B$2:$B$80,修饰列表!$D$2:$D$80))))</f>
        <v>0</v>
      </c>
      <c r="Q231" s="120">
        <f t="shared" si="3"/>
        <v>0</v>
      </c>
    </row>
    <row r="232" spans="1:17" x14ac:dyDescent="0.25">
      <c r="A232" s="113"/>
      <c r="B232" s="114"/>
      <c r="C232" s="114"/>
      <c r="D232" s="115"/>
      <c r="E232" s="104"/>
      <c r="F232" s="117"/>
      <c r="G232" s="117"/>
      <c r="H232" s="117"/>
      <c r="I232" s="117"/>
      <c r="J232" s="117"/>
      <c r="K232" s="110"/>
      <c r="L232" s="110"/>
      <c r="M232" s="110"/>
      <c r="N232" s="110"/>
      <c r="O232" s="117"/>
      <c r="P232" s="119">
        <f t="array" ref="P232">LEN(D232)-SUM((LEN(D232)-LEN(SUBSTITUTE(D232,修饰列表!$B$2:$B$80,修饰列表!$D$2:$D$80))))</f>
        <v>0</v>
      </c>
      <c r="Q232" s="120">
        <f t="shared" si="3"/>
        <v>0</v>
      </c>
    </row>
    <row r="233" spans="1:17" x14ac:dyDescent="0.25">
      <c r="A233" s="113"/>
      <c r="B233" s="114"/>
      <c r="C233" s="114"/>
      <c r="D233" s="115"/>
      <c r="E233" s="104"/>
      <c r="F233" s="117"/>
      <c r="G233" s="117"/>
      <c r="H233" s="117"/>
      <c r="I233" s="117"/>
      <c r="J233" s="117"/>
      <c r="K233" s="110"/>
      <c r="L233" s="110"/>
      <c r="M233" s="110"/>
      <c r="N233" s="110"/>
      <c r="O233" s="117"/>
      <c r="P233" s="119">
        <f t="array" ref="P233">LEN(D233)-SUM((LEN(D233)-LEN(SUBSTITUTE(D233,修饰列表!$B$2:$B$80,修饰列表!$D$2:$D$80))))</f>
        <v>0</v>
      </c>
      <c r="Q233" s="120">
        <f t="shared" si="3"/>
        <v>0</v>
      </c>
    </row>
    <row r="234" spans="1:17" x14ac:dyDescent="0.25">
      <c r="A234" s="113"/>
      <c r="B234" s="114"/>
      <c r="C234" s="114"/>
      <c r="D234" s="115"/>
      <c r="E234" s="104"/>
      <c r="F234" s="117"/>
      <c r="G234" s="117"/>
      <c r="H234" s="117"/>
      <c r="I234" s="117"/>
      <c r="J234" s="117"/>
      <c r="K234" s="110"/>
      <c r="L234" s="110"/>
      <c r="M234" s="110"/>
      <c r="N234" s="110"/>
      <c r="O234" s="117"/>
      <c r="P234" s="119">
        <f t="array" ref="P234">LEN(D234)-SUM((LEN(D234)-LEN(SUBSTITUTE(D234,修饰列表!$B$2:$B$80,修饰列表!$D$2:$D$80))))</f>
        <v>0</v>
      </c>
      <c r="Q234" s="120">
        <f t="shared" si="3"/>
        <v>0</v>
      </c>
    </row>
    <row r="235" spans="1:17" x14ac:dyDescent="0.25">
      <c r="A235" s="113"/>
      <c r="B235" s="114"/>
      <c r="C235" s="114"/>
      <c r="D235" s="115"/>
      <c r="E235" s="104"/>
      <c r="F235" s="117"/>
      <c r="G235" s="117"/>
      <c r="H235" s="117"/>
      <c r="I235" s="117"/>
      <c r="J235" s="117"/>
      <c r="K235" s="110"/>
      <c r="L235" s="110"/>
      <c r="M235" s="110"/>
      <c r="N235" s="110"/>
      <c r="O235" s="117"/>
      <c r="P235" s="119">
        <f t="array" ref="P235">LEN(D235)-SUM((LEN(D235)-LEN(SUBSTITUTE(D235,修饰列表!$B$2:$B$80,修饰列表!$D$2:$D$80))))</f>
        <v>0</v>
      </c>
      <c r="Q235" s="120">
        <f t="shared" si="3"/>
        <v>0</v>
      </c>
    </row>
    <row r="236" spans="1:17" x14ac:dyDescent="0.25">
      <c r="A236" s="113"/>
      <c r="B236" s="114"/>
      <c r="C236" s="114"/>
      <c r="D236" s="115"/>
      <c r="E236" s="104"/>
      <c r="F236" s="117"/>
      <c r="G236" s="117"/>
      <c r="H236" s="117"/>
      <c r="I236" s="117"/>
      <c r="J236" s="117"/>
      <c r="K236" s="110"/>
      <c r="L236" s="110"/>
      <c r="M236" s="110"/>
      <c r="N236" s="110"/>
      <c r="O236" s="117"/>
      <c r="P236" s="119">
        <f t="array" ref="P236">LEN(D236)-SUM((LEN(D236)-LEN(SUBSTITUTE(D236,修饰列表!$B$2:$B$80,修饰列表!$D$2:$D$80))))</f>
        <v>0</v>
      </c>
      <c r="Q236" s="120">
        <f t="shared" si="3"/>
        <v>0</v>
      </c>
    </row>
    <row r="237" spans="1:17" x14ac:dyDescent="0.25">
      <c r="A237" s="113"/>
      <c r="B237" s="114"/>
      <c r="C237" s="114"/>
      <c r="D237" s="115"/>
      <c r="E237" s="104"/>
      <c r="F237" s="117"/>
      <c r="G237" s="117"/>
      <c r="H237" s="117"/>
      <c r="I237" s="117"/>
      <c r="J237" s="117"/>
      <c r="K237" s="110"/>
      <c r="L237" s="110"/>
      <c r="M237" s="110"/>
      <c r="N237" s="110"/>
      <c r="O237" s="117"/>
      <c r="P237" s="119">
        <f t="array" ref="P237">LEN(D237)-SUM((LEN(D237)-LEN(SUBSTITUTE(D237,修饰列表!$B$2:$B$80,修饰列表!$D$2:$D$80))))</f>
        <v>0</v>
      </c>
      <c r="Q237" s="120">
        <f t="shared" si="3"/>
        <v>0</v>
      </c>
    </row>
    <row r="238" spans="1:17" x14ac:dyDescent="0.25">
      <c r="A238" s="113"/>
      <c r="B238" s="114"/>
      <c r="C238" s="114"/>
      <c r="D238" s="115"/>
      <c r="E238" s="104"/>
      <c r="F238" s="117"/>
      <c r="G238" s="117"/>
      <c r="H238" s="117"/>
      <c r="I238" s="117"/>
      <c r="J238" s="117"/>
      <c r="K238" s="110"/>
      <c r="L238" s="110"/>
      <c r="M238" s="110"/>
      <c r="N238" s="110"/>
      <c r="O238" s="117"/>
      <c r="P238" s="119">
        <f t="array" ref="P238">LEN(D238)-SUM((LEN(D238)-LEN(SUBSTITUTE(D238,修饰列表!$B$2:$B$80,修饰列表!$D$2:$D$80))))</f>
        <v>0</v>
      </c>
      <c r="Q238" s="120">
        <f t="shared" si="3"/>
        <v>0</v>
      </c>
    </row>
    <row r="239" spans="1:17" x14ac:dyDescent="0.25">
      <c r="A239" s="113"/>
      <c r="B239" s="114"/>
      <c r="C239" s="114"/>
      <c r="D239" s="115"/>
      <c r="E239" s="104"/>
      <c r="F239" s="117"/>
      <c r="G239" s="117"/>
      <c r="H239" s="117"/>
      <c r="I239" s="117"/>
      <c r="J239" s="117"/>
      <c r="K239" s="110"/>
      <c r="L239" s="110"/>
      <c r="M239" s="110"/>
      <c r="N239" s="110"/>
      <c r="O239" s="117"/>
      <c r="P239" s="119">
        <f t="array" ref="P239">LEN(D239)-SUM((LEN(D239)-LEN(SUBSTITUTE(D239,修饰列表!$B$2:$B$80,修饰列表!$D$2:$D$80))))</f>
        <v>0</v>
      </c>
      <c r="Q239" s="120">
        <f t="shared" si="3"/>
        <v>0</v>
      </c>
    </row>
    <row r="240" spans="1:17" x14ac:dyDescent="0.25">
      <c r="A240" s="113"/>
      <c r="B240" s="114"/>
      <c r="C240" s="114"/>
      <c r="D240" s="115"/>
      <c r="E240" s="104"/>
      <c r="F240" s="117"/>
      <c r="G240" s="117"/>
      <c r="H240" s="117"/>
      <c r="I240" s="117"/>
      <c r="J240" s="117"/>
      <c r="K240" s="110"/>
      <c r="L240" s="110"/>
      <c r="M240" s="110"/>
      <c r="N240" s="110"/>
      <c r="O240" s="117"/>
      <c r="P240" s="119">
        <f t="array" ref="P240">LEN(D240)-SUM((LEN(D240)-LEN(SUBSTITUTE(D240,修饰列表!$B$2:$B$80,修饰列表!$D$2:$D$80))))</f>
        <v>0</v>
      </c>
      <c r="Q240" s="120">
        <f t="shared" si="3"/>
        <v>0</v>
      </c>
    </row>
    <row r="241" spans="1:17" x14ac:dyDescent="0.25">
      <c r="A241" s="113"/>
      <c r="B241" s="114"/>
      <c r="C241" s="114"/>
      <c r="D241" s="115"/>
      <c r="E241" s="104"/>
      <c r="F241" s="117"/>
      <c r="G241" s="117"/>
      <c r="H241" s="117"/>
      <c r="I241" s="117"/>
      <c r="J241" s="117"/>
      <c r="K241" s="110"/>
      <c r="L241" s="110"/>
      <c r="M241" s="110"/>
      <c r="N241" s="110"/>
      <c r="O241" s="117"/>
      <c r="P241" s="119">
        <f t="array" ref="P241">LEN(D241)-SUM((LEN(D241)-LEN(SUBSTITUTE(D241,修饰列表!$B$2:$B$80,修饰列表!$D$2:$D$80))))</f>
        <v>0</v>
      </c>
      <c r="Q241" s="120">
        <f t="shared" si="3"/>
        <v>0</v>
      </c>
    </row>
    <row r="242" spans="1:17" x14ac:dyDescent="0.25">
      <c r="A242" s="113"/>
      <c r="B242" s="114"/>
      <c r="C242" s="114"/>
      <c r="D242" s="115"/>
      <c r="E242" s="104"/>
      <c r="F242" s="117"/>
      <c r="G242" s="117"/>
      <c r="H242" s="117"/>
      <c r="I242" s="117"/>
      <c r="J242" s="117"/>
      <c r="K242" s="110"/>
      <c r="L242" s="110"/>
      <c r="M242" s="110"/>
      <c r="N242" s="110"/>
      <c r="O242" s="117"/>
      <c r="P242" s="119">
        <f t="array" ref="P242">LEN(D242)-SUM((LEN(D242)-LEN(SUBSTITUTE(D242,修饰列表!$B$2:$B$80,修饰列表!$D$2:$D$80))))</f>
        <v>0</v>
      </c>
      <c r="Q242" s="120">
        <f t="shared" si="3"/>
        <v>0</v>
      </c>
    </row>
    <row r="243" spans="1:17" x14ac:dyDescent="0.25">
      <c r="A243" s="113"/>
      <c r="B243" s="114"/>
      <c r="C243" s="114"/>
      <c r="D243" s="115"/>
      <c r="E243" s="104"/>
      <c r="F243" s="117"/>
      <c r="G243" s="117"/>
      <c r="H243" s="117"/>
      <c r="I243" s="117"/>
      <c r="J243" s="117"/>
      <c r="K243" s="110"/>
      <c r="L243" s="110"/>
      <c r="M243" s="110"/>
      <c r="N243" s="110"/>
      <c r="O243" s="117"/>
      <c r="P243" s="119">
        <f t="array" ref="P243">LEN(D243)-SUM((LEN(D243)-LEN(SUBSTITUTE(D243,修饰列表!$B$2:$B$80,修饰列表!$D$2:$D$80))))</f>
        <v>0</v>
      </c>
      <c r="Q243" s="120">
        <f t="shared" si="3"/>
        <v>0</v>
      </c>
    </row>
    <row r="244" spans="1:17" x14ac:dyDescent="0.25">
      <c r="A244" s="113"/>
      <c r="B244" s="114"/>
      <c r="C244" s="114"/>
      <c r="D244" s="115"/>
      <c r="E244" s="104"/>
      <c r="F244" s="117"/>
      <c r="G244" s="117"/>
      <c r="H244" s="117"/>
      <c r="I244" s="117"/>
      <c r="J244" s="117"/>
      <c r="K244" s="110"/>
      <c r="L244" s="110"/>
      <c r="M244" s="110"/>
      <c r="N244" s="110"/>
      <c r="O244" s="117"/>
      <c r="P244" s="119">
        <f t="array" ref="P244">LEN(D244)-SUM((LEN(D244)-LEN(SUBSTITUTE(D244,修饰列表!$B$2:$B$80,修饰列表!$D$2:$D$80))))</f>
        <v>0</v>
      </c>
      <c r="Q244" s="120">
        <f t="shared" si="3"/>
        <v>0</v>
      </c>
    </row>
    <row r="245" spans="1:17" x14ac:dyDescent="0.25">
      <c r="A245" s="113"/>
      <c r="B245" s="114"/>
      <c r="C245" s="114"/>
      <c r="D245" s="115"/>
      <c r="E245" s="104"/>
      <c r="F245" s="117"/>
      <c r="G245" s="117"/>
      <c r="H245" s="117"/>
      <c r="I245" s="117"/>
      <c r="J245" s="117"/>
      <c r="K245" s="110"/>
      <c r="L245" s="110"/>
      <c r="M245" s="110"/>
      <c r="N245" s="110"/>
      <c r="O245" s="117"/>
      <c r="P245" s="119">
        <f t="array" ref="P245">LEN(D245)-SUM((LEN(D245)-LEN(SUBSTITUTE(D245,修饰列表!$B$2:$B$80,修饰列表!$D$2:$D$80))))</f>
        <v>0</v>
      </c>
      <c r="Q245" s="120">
        <f t="shared" si="3"/>
        <v>0</v>
      </c>
    </row>
    <row r="246" spans="1:17" x14ac:dyDescent="0.25">
      <c r="A246" s="113"/>
      <c r="B246" s="114"/>
      <c r="C246" s="114"/>
      <c r="D246" s="115"/>
      <c r="E246" s="104"/>
      <c r="F246" s="117"/>
      <c r="G246" s="117"/>
      <c r="H246" s="117"/>
      <c r="I246" s="117"/>
      <c r="J246" s="117"/>
      <c r="K246" s="110"/>
      <c r="L246" s="110"/>
      <c r="M246" s="110"/>
      <c r="N246" s="110"/>
      <c r="O246" s="117"/>
      <c r="P246" s="119">
        <f t="array" ref="P246">LEN(D246)-SUM((LEN(D246)-LEN(SUBSTITUTE(D246,修饰列表!$B$2:$B$80,修饰列表!$D$2:$D$80))))</f>
        <v>0</v>
      </c>
      <c r="Q246" s="120">
        <f t="shared" si="3"/>
        <v>0</v>
      </c>
    </row>
    <row r="247" spans="1:17" x14ac:dyDescent="0.25">
      <c r="A247" s="113"/>
      <c r="B247" s="114"/>
      <c r="C247" s="114"/>
      <c r="D247" s="115"/>
      <c r="E247" s="104"/>
      <c r="F247" s="117"/>
      <c r="G247" s="117"/>
      <c r="H247" s="117"/>
      <c r="I247" s="117"/>
      <c r="J247" s="117"/>
      <c r="K247" s="110"/>
      <c r="L247" s="110"/>
      <c r="M247" s="110"/>
      <c r="N247" s="110"/>
      <c r="O247" s="117"/>
      <c r="P247" s="119">
        <f t="array" ref="P247">LEN(D247)-SUM((LEN(D247)-LEN(SUBSTITUTE(D247,修饰列表!$B$2:$B$80,修饰列表!$D$2:$D$80))))</f>
        <v>0</v>
      </c>
      <c r="Q247" s="120">
        <f t="shared" si="3"/>
        <v>0</v>
      </c>
    </row>
    <row r="248" spans="1:17" x14ac:dyDescent="0.25">
      <c r="A248" s="113"/>
      <c r="B248" s="114"/>
      <c r="C248" s="114"/>
      <c r="D248" s="115"/>
      <c r="E248" s="104"/>
      <c r="F248" s="117"/>
      <c r="G248" s="117"/>
      <c r="H248" s="117"/>
      <c r="I248" s="117"/>
      <c r="J248" s="117"/>
      <c r="K248" s="110"/>
      <c r="L248" s="110"/>
      <c r="M248" s="110"/>
      <c r="N248" s="110"/>
      <c r="O248" s="117"/>
      <c r="P248" s="119">
        <f t="array" ref="P248">LEN(D248)-SUM((LEN(D248)-LEN(SUBSTITUTE(D248,修饰列表!$B$2:$B$80,修饰列表!$D$2:$D$80))))</f>
        <v>0</v>
      </c>
      <c r="Q248" s="120">
        <f t="shared" si="3"/>
        <v>0</v>
      </c>
    </row>
    <row r="249" spans="1:17" x14ac:dyDescent="0.25">
      <c r="A249" s="113"/>
      <c r="B249" s="114"/>
      <c r="C249" s="114"/>
      <c r="D249" s="115"/>
      <c r="E249" s="104"/>
      <c r="F249" s="117"/>
      <c r="G249" s="117"/>
      <c r="H249" s="117"/>
      <c r="I249" s="117"/>
      <c r="J249" s="117"/>
      <c r="K249" s="110"/>
      <c r="L249" s="110"/>
      <c r="M249" s="110"/>
      <c r="N249" s="110"/>
      <c r="O249" s="117"/>
      <c r="P249" s="119">
        <f t="array" ref="P249">LEN(D249)-SUM((LEN(D249)-LEN(SUBSTITUTE(D249,修饰列表!$B$2:$B$80,修饰列表!$D$2:$D$80))))</f>
        <v>0</v>
      </c>
      <c r="Q249" s="120">
        <f t="shared" si="3"/>
        <v>0</v>
      </c>
    </row>
    <row r="250" spans="1:17" x14ac:dyDescent="0.25">
      <c r="A250" s="113"/>
      <c r="B250" s="114"/>
      <c r="C250" s="114"/>
      <c r="D250" s="115"/>
      <c r="E250" s="104"/>
      <c r="F250" s="117"/>
      <c r="G250" s="117"/>
      <c r="H250" s="117"/>
      <c r="I250" s="117"/>
      <c r="J250" s="117"/>
      <c r="K250" s="110"/>
      <c r="L250" s="110"/>
      <c r="M250" s="110"/>
      <c r="N250" s="110"/>
      <c r="O250" s="117"/>
      <c r="P250" s="119">
        <f t="array" ref="P250">LEN(D250)-SUM((LEN(D250)-LEN(SUBSTITUTE(D250,修饰列表!$B$2:$B$80,修饰列表!$D$2:$D$80))))</f>
        <v>0</v>
      </c>
      <c r="Q250" s="120">
        <f t="shared" si="3"/>
        <v>0</v>
      </c>
    </row>
    <row r="251" spans="1:17" x14ac:dyDescent="0.25">
      <c r="A251" s="113"/>
      <c r="B251" s="114"/>
      <c r="C251" s="114"/>
      <c r="D251" s="115"/>
      <c r="E251" s="104"/>
      <c r="F251" s="117"/>
      <c r="G251" s="117"/>
      <c r="H251" s="117"/>
      <c r="I251" s="117"/>
      <c r="J251" s="117"/>
      <c r="K251" s="110"/>
      <c r="L251" s="110"/>
      <c r="M251" s="110"/>
      <c r="N251" s="110"/>
      <c r="O251" s="117"/>
      <c r="P251" s="119">
        <f t="array" ref="P251">LEN(D251)-SUM((LEN(D251)-LEN(SUBSTITUTE(D251,修饰列表!$B$2:$B$80,修饰列表!$D$2:$D$80))))</f>
        <v>0</v>
      </c>
      <c r="Q251" s="120">
        <f t="shared" si="3"/>
        <v>0</v>
      </c>
    </row>
    <row r="252" spans="1:17" x14ac:dyDescent="0.25">
      <c r="A252" s="113"/>
      <c r="B252" s="114"/>
      <c r="C252" s="114"/>
      <c r="D252" s="115"/>
      <c r="E252" s="104"/>
      <c r="F252" s="117"/>
      <c r="G252" s="117"/>
      <c r="H252" s="117"/>
      <c r="I252" s="117"/>
      <c r="J252" s="117"/>
      <c r="K252" s="110"/>
      <c r="L252" s="110"/>
      <c r="M252" s="110"/>
      <c r="N252" s="110"/>
      <c r="O252" s="117"/>
      <c r="P252" s="119">
        <f t="array" ref="P252">LEN(D252)-SUM((LEN(D252)-LEN(SUBSTITUTE(D252,修饰列表!$B$2:$B$80,修饰列表!$D$2:$D$80))))</f>
        <v>0</v>
      </c>
      <c r="Q252" s="120">
        <f t="shared" si="3"/>
        <v>0</v>
      </c>
    </row>
    <row r="253" spans="1:17" x14ac:dyDescent="0.25">
      <c r="A253" s="113"/>
      <c r="B253" s="114"/>
      <c r="C253" s="114"/>
      <c r="D253" s="115"/>
      <c r="E253" s="104"/>
      <c r="F253" s="117"/>
      <c r="G253" s="117"/>
      <c r="H253" s="117"/>
      <c r="I253" s="117"/>
      <c r="J253" s="117"/>
      <c r="K253" s="110"/>
      <c r="L253" s="110"/>
      <c r="M253" s="110"/>
      <c r="N253" s="110"/>
      <c r="O253" s="117"/>
      <c r="P253" s="119">
        <f t="array" ref="P253">LEN(D253)-SUM((LEN(D253)-LEN(SUBSTITUTE(D253,修饰列表!$B$2:$B$80,修饰列表!$D$2:$D$80))))</f>
        <v>0</v>
      </c>
      <c r="Q253" s="120">
        <f t="shared" si="3"/>
        <v>0</v>
      </c>
    </row>
    <row r="254" spans="1:17" x14ac:dyDescent="0.25">
      <c r="A254" s="113"/>
      <c r="B254" s="114"/>
      <c r="C254" s="114"/>
      <c r="D254" s="115"/>
      <c r="E254" s="104"/>
      <c r="F254" s="117"/>
      <c r="G254" s="117"/>
      <c r="H254" s="117"/>
      <c r="I254" s="117"/>
      <c r="J254" s="117"/>
      <c r="K254" s="110"/>
      <c r="L254" s="110"/>
      <c r="M254" s="110"/>
      <c r="N254" s="110"/>
      <c r="O254" s="117"/>
      <c r="P254" s="119">
        <f t="array" ref="P254">LEN(D254)-SUM((LEN(D254)-LEN(SUBSTITUTE(D254,修饰列表!$B$2:$B$80,修饰列表!$D$2:$D$80))))</f>
        <v>0</v>
      </c>
      <c r="Q254" s="120">
        <f t="shared" si="3"/>
        <v>0</v>
      </c>
    </row>
    <row r="255" spans="1:17" x14ac:dyDescent="0.25">
      <c r="A255" s="113"/>
      <c r="B255" s="114"/>
      <c r="C255" s="114"/>
      <c r="D255" s="115"/>
      <c r="E255" s="104"/>
      <c r="F255" s="117"/>
      <c r="G255" s="117"/>
      <c r="H255" s="117"/>
      <c r="I255" s="117"/>
      <c r="J255" s="117"/>
      <c r="K255" s="110"/>
      <c r="L255" s="110"/>
      <c r="M255" s="110"/>
      <c r="N255" s="110"/>
      <c r="O255" s="117"/>
      <c r="P255" s="119">
        <f t="array" ref="P255">LEN(D255)-SUM((LEN(D255)-LEN(SUBSTITUTE(D255,修饰列表!$B$2:$B$80,修饰列表!$D$2:$D$80))))</f>
        <v>0</v>
      </c>
      <c r="Q255" s="120">
        <f t="shared" si="3"/>
        <v>0</v>
      </c>
    </row>
    <row r="256" spans="1:17" x14ac:dyDescent="0.25">
      <c r="A256" s="113"/>
      <c r="B256" s="114"/>
      <c r="C256" s="114"/>
      <c r="D256" s="115"/>
      <c r="E256" s="104"/>
      <c r="F256" s="117"/>
      <c r="G256" s="117"/>
      <c r="H256" s="117"/>
      <c r="I256" s="117"/>
      <c r="J256" s="117"/>
      <c r="K256" s="110"/>
      <c r="L256" s="110"/>
      <c r="M256" s="110"/>
      <c r="N256" s="110"/>
      <c r="O256" s="117"/>
      <c r="P256" s="119">
        <f t="array" ref="P256">LEN(D256)-SUM((LEN(D256)-LEN(SUBSTITUTE(D256,修饰列表!$B$2:$B$80,修饰列表!$D$2:$D$80))))</f>
        <v>0</v>
      </c>
      <c r="Q256" s="120">
        <f t="shared" si="3"/>
        <v>0</v>
      </c>
    </row>
    <row r="257" spans="1:17" x14ac:dyDescent="0.25">
      <c r="A257" s="113"/>
      <c r="B257" s="114"/>
      <c r="C257" s="114"/>
      <c r="D257" s="115"/>
      <c r="E257" s="104"/>
      <c r="F257" s="117"/>
      <c r="G257" s="117"/>
      <c r="H257" s="117"/>
      <c r="I257" s="117"/>
      <c r="J257" s="117"/>
      <c r="K257" s="110"/>
      <c r="L257" s="110"/>
      <c r="M257" s="110"/>
      <c r="N257" s="110"/>
      <c r="O257" s="117"/>
      <c r="P257" s="119">
        <f t="array" ref="P257">LEN(D257)-SUM((LEN(D257)-LEN(SUBSTITUTE(D257,修饰列表!$B$2:$B$80,修饰列表!$D$2:$D$80))))</f>
        <v>0</v>
      </c>
      <c r="Q257" s="120">
        <f t="shared" si="3"/>
        <v>0</v>
      </c>
    </row>
    <row r="258" spans="1:17" x14ac:dyDescent="0.25">
      <c r="A258" s="113"/>
      <c r="B258" s="114"/>
      <c r="C258" s="114"/>
      <c r="D258" s="115"/>
      <c r="E258" s="104"/>
      <c r="F258" s="117"/>
      <c r="G258" s="117"/>
      <c r="H258" s="117"/>
      <c r="I258" s="117"/>
      <c r="J258" s="117"/>
      <c r="K258" s="110"/>
      <c r="L258" s="110"/>
      <c r="M258" s="110"/>
      <c r="N258" s="110"/>
      <c r="O258" s="117"/>
      <c r="P258" s="119">
        <f t="array" ref="P258">LEN(D258)-SUM((LEN(D258)-LEN(SUBSTITUTE(D258,修饰列表!$B$2:$B$80,修饰列表!$D$2:$D$80))))</f>
        <v>0</v>
      </c>
      <c r="Q258" s="120">
        <f t="shared" si="3"/>
        <v>0</v>
      </c>
    </row>
    <row r="259" spans="1:17" x14ac:dyDescent="0.25">
      <c r="A259" s="113"/>
      <c r="B259" s="114"/>
      <c r="C259" s="114"/>
      <c r="D259" s="115"/>
      <c r="E259" s="104"/>
      <c r="F259" s="117"/>
      <c r="G259" s="117"/>
      <c r="H259" s="117"/>
      <c r="I259" s="117"/>
      <c r="J259" s="117"/>
      <c r="K259" s="110"/>
      <c r="L259" s="110"/>
      <c r="M259" s="110"/>
      <c r="N259" s="110"/>
      <c r="O259" s="117"/>
      <c r="P259" s="119">
        <f t="array" ref="P259">LEN(D259)-SUM((LEN(D259)-LEN(SUBSTITUTE(D259,修饰列表!$B$2:$B$80,修饰列表!$D$2:$D$80))))</f>
        <v>0</v>
      </c>
      <c r="Q259" s="120">
        <f t="shared" si="3"/>
        <v>0</v>
      </c>
    </row>
    <row r="260" spans="1:17" x14ac:dyDescent="0.25">
      <c r="A260" s="113"/>
      <c r="B260" s="114"/>
      <c r="C260" s="114"/>
      <c r="D260" s="115"/>
      <c r="E260" s="104"/>
      <c r="F260" s="117"/>
      <c r="G260" s="117"/>
      <c r="H260" s="117"/>
      <c r="I260" s="117"/>
      <c r="J260" s="117"/>
      <c r="K260" s="110"/>
      <c r="L260" s="110"/>
      <c r="M260" s="110"/>
      <c r="N260" s="110"/>
      <c r="O260" s="117"/>
      <c r="P260" s="119">
        <f t="array" ref="P260">LEN(D260)-SUM((LEN(D260)-LEN(SUBSTITUTE(D260,修饰列表!$B$2:$B$80,修饰列表!$D$2:$D$80))))</f>
        <v>0</v>
      </c>
      <c r="Q260" s="120">
        <f t="shared" si="3"/>
        <v>0</v>
      </c>
    </row>
    <row r="261" spans="1:17" x14ac:dyDescent="0.25">
      <c r="A261" s="113"/>
      <c r="B261" s="114"/>
      <c r="C261" s="114"/>
      <c r="D261" s="115"/>
      <c r="E261" s="104"/>
      <c r="F261" s="117"/>
      <c r="G261" s="117"/>
      <c r="H261" s="117"/>
      <c r="I261" s="117"/>
      <c r="J261" s="117"/>
      <c r="K261" s="110"/>
      <c r="L261" s="110"/>
      <c r="M261" s="110"/>
      <c r="N261" s="110"/>
      <c r="O261" s="117"/>
      <c r="P261" s="119">
        <f t="array" ref="P261">LEN(D261)-SUM((LEN(D261)-LEN(SUBSTITUTE(D261,修饰列表!$B$2:$B$80,修饰列表!$D$2:$D$80))))</f>
        <v>0</v>
      </c>
      <c r="Q261" s="120">
        <f t="shared" si="3"/>
        <v>0</v>
      </c>
    </row>
    <row r="262" spans="1:17" x14ac:dyDescent="0.25">
      <c r="A262" s="113"/>
      <c r="B262" s="114"/>
      <c r="C262" s="114"/>
      <c r="D262" s="115"/>
      <c r="E262" s="104"/>
      <c r="F262" s="117"/>
      <c r="G262" s="117"/>
      <c r="H262" s="117"/>
      <c r="I262" s="117"/>
      <c r="J262" s="117"/>
      <c r="K262" s="110"/>
      <c r="L262" s="110"/>
      <c r="M262" s="110"/>
      <c r="N262" s="110"/>
      <c r="O262" s="117"/>
      <c r="P262" s="119">
        <f t="array" ref="P262">LEN(D262)-SUM((LEN(D262)-LEN(SUBSTITUTE(D262,修饰列表!$B$2:$B$80,修饰列表!$D$2:$D$80))))</f>
        <v>0</v>
      </c>
      <c r="Q262" s="120">
        <f t="shared" si="3"/>
        <v>0</v>
      </c>
    </row>
    <row r="263" spans="1:17" x14ac:dyDescent="0.25">
      <c r="A263" s="113"/>
      <c r="B263" s="114"/>
      <c r="C263" s="114"/>
      <c r="D263" s="115"/>
      <c r="E263" s="104"/>
      <c r="F263" s="117"/>
      <c r="G263" s="117"/>
      <c r="H263" s="117"/>
      <c r="I263" s="117"/>
      <c r="J263" s="117"/>
      <c r="K263" s="110"/>
      <c r="L263" s="110"/>
      <c r="M263" s="110"/>
      <c r="N263" s="110"/>
      <c r="O263" s="117"/>
      <c r="P263" s="119">
        <f t="array" ref="P263">LEN(D263)-SUM((LEN(D263)-LEN(SUBSTITUTE(D263,修饰列表!$B$2:$B$80,修饰列表!$D$2:$D$80))))</f>
        <v>0</v>
      </c>
      <c r="Q263" s="120">
        <f t="shared" si="3"/>
        <v>0</v>
      </c>
    </row>
    <row r="264" spans="1:17" x14ac:dyDescent="0.25">
      <c r="A264" s="113"/>
      <c r="B264" s="114"/>
      <c r="C264" s="114"/>
      <c r="D264" s="115"/>
      <c r="E264" s="104"/>
      <c r="F264" s="117"/>
      <c r="G264" s="117"/>
      <c r="H264" s="117"/>
      <c r="I264" s="117"/>
      <c r="J264" s="117"/>
      <c r="K264" s="110"/>
      <c r="L264" s="110"/>
      <c r="M264" s="110"/>
      <c r="N264" s="110"/>
      <c r="O264" s="117"/>
      <c r="P264" s="119">
        <f t="array" ref="P264">LEN(D264)-SUM((LEN(D264)-LEN(SUBSTITUTE(D264,修饰列表!$B$2:$B$80,修饰列表!$D$2:$D$80))))</f>
        <v>0</v>
      </c>
      <c r="Q264" s="120">
        <f t="shared" si="3"/>
        <v>0</v>
      </c>
    </row>
    <row r="265" spans="1:17" x14ac:dyDescent="0.25">
      <c r="A265" s="113"/>
      <c r="B265" s="114"/>
      <c r="C265" s="114"/>
      <c r="D265" s="115"/>
      <c r="E265" s="104"/>
      <c r="F265" s="117"/>
      <c r="G265" s="117"/>
      <c r="H265" s="117"/>
      <c r="I265" s="117"/>
      <c r="J265" s="117"/>
      <c r="K265" s="110"/>
      <c r="L265" s="110"/>
      <c r="M265" s="110"/>
      <c r="N265" s="110"/>
      <c r="O265" s="117"/>
      <c r="P265" s="119">
        <f t="array" ref="P265">LEN(D265)-SUM((LEN(D265)-LEN(SUBSTITUTE(D265,修饰列表!$B$2:$B$80,修饰列表!$D$2:$D$80))))</f>
        <v>0</v>
      </c>
      <c r="Q265" s="120">
        <f t="shared" si="3"/>
        <v>0</v>
      </c>
    </row>
    <row r="266" spans="1:17" x14ac:dyDescent="0.25">
      <c r="A266" s="113"/>
      <c r="B266" s="114"/>
      <c r="C266" s="114"/>
      <c r="D266" s="115"/>
      <c r="E266" s="104"/>
      <c r="F266" s="117"/>
      <c r="G266" s="117"/>
      <c r="H266" s="117"/>
      <c r="I266" s="117"/>
      <c r="J266" s="117"/>
      <c r="K266" s="110"/>
      <c r="L266" s="110"/>
      <c r="M266" s="110"/>
      <c r="N266" s="110"/>
      <c r="O266" s="117"/>
      <c r="P266" s="119">
        <f t="array" ref="P266">LEN(D266)-SUM((LEN(D266)-LEN(SUBSTITUTE(D266,修饰列表!$B$2:$B$80,修饰列表!$D$2:$D$80))))</f>
        <v>0</v>
      </c>
      <c r="Q266" s="120">
        <f t="shared" si="3"/>
        <v>0</v>
      </c>
    </row>
    <row r="267" spans="1:17" x14ac:dyDescent="0.25">
      <c r="A267" s="113"/>
      <c r="B267" s="114"/>
      <c r="C267" s="114"/>
      <c r="D267" s="115"/>
      <c r="E267" s="104"/>
      <c r="F267" s="117"/>
      <c r="G267" s="117"/>
      <c r="H267" s="117"/>
      <c r="I267" s="117"/>
      <c r="J267" s="117"/>
      <c r="K267" s="110"/>
      <c r="L267" s="110"/>
      <c r="M267" s="110"/>
      <c r="N267" s="110"/>
      <c r="O267" s="117"/>
      <c r="P267" s="119">
        <f t="array" ref="P267">LEN(D267)-SUM((LEN(D267)-LEN(SUBSTITUTE(D267,修饰列表!$B$2:$B$80,修饰列表!$D$2:$D$80))))</f>
        <v>0</v>
      </c>
      <c r="Q267" s="120">
        <f t="shared" si="3"/>
        <v>0</v>
      </c>
    </row>
    <row r="268" spans="1:17" x14ac:dyDescent="0.25">
      <c r="A268" s="113"/>
      <c r="B268" s="114"/>
      <c r="C268" s="114"/>
      <c r="D268" s="115"/>
      <c r="E268" s="104"/>
      <c r="F268" s="117"/>
      <c r="G268" s="117"/>
      <c r="H268" s="117"/>
      <c r="I268" s="117"/>
      <c r="J268" s="117"/>
      <c r="K268" s="110"/>
      <c r="L268" s="110"/>
      <c r="M268" s="110"/>
      <c r="N268" s="110"/>
      <c r="O268" s="117"/>
      <c r="P268" s="119">
        <f t="array" ref="P268">LEN(D268)-SUM((LEN(D268)-LEN(SUBSTITUTE(D268,修饰列表!$B$2:$B$80,修饰列表!$D$2:$D$80))))</f>
        <v>0</v>
      </c>
      <c r="Q268" s="120">
        <f t="shared" si="3"/>
        <v>0</v>
      </c>
    </row>
    <row r="269" spans="1:17" x14ac:dyDescent="0.25">
      <c r="A269" s="113"/>
      <c r="B269" s="114"/>
      <c r="C269" s="114"/>
      <c r="D269" s="115"/>
      <c r="E269" s="104"/>
      <c r="F269" s="117"/>
      <c r="G269" s="117"/>
      <c r="H269" s="117"/>
      <c r="I269" s="117"/>
      <c r="J269" s="117"/>
      <c r="K269" s="110"/>
      <c r="L269" s="110"/>
      <c r="M269" s="110"/>
      <c r="N269" s="110"/>
      <c r="O269" s="117"/>
      <c r="P269" s="119">
        <f t="array" ref="P269">LEN(D269)-SUM((LEN(D269)-LEN(SUBSTITUTE(D269,修饰列表!$B$2:$B$80,修饰列表!$D$2:$D$80))))</f>
        <v>0</v>
      </c>
      <c r="Q269" s="120">
        <f t="shared" si="3"/>
        <v>0</v>
      </c>
    </row>
    <row r="270" spans="1:17" x14ac:dyDescent="0.25">
      <c r="A270" s="113"/>
      <c r="B270" s="114"/>
      <c r="C270" s="114"/>
      <c r="D270" s="115"/>
      <c r="E270" s="104"/>
      <c r="F270" s="117"/>
      <c r="G270" s="117"/>
      <c r="H270" s="117"/>
      <c r="I270" s="117"/>
      <c r="J270" s="117"/>
      <c r="K270" s="110"/>
      <c r="L270" s="110"/>
      <c r="M270" s="110"/>
      <c r="N270" s="110"/>
      <c r="O270" s="117"/>
      <c r="P270" s="119">
        <f t="array" ref="P270">LEN(D270)-SUM((LEN(D270)-LEN(SUBSTITUTE(D270,修饰列表!$B$2:$B$80,修饰列表!$D$2:$D$80))))</f>
        <v>0</v>
      </c>
      <c r="Q270" s="120">
        <f t="shared" si="3"/>
        <v>0</v>
      </c>
    </row>
    <row r="271" spans="1:17" x14ac:dyDescent="0.25">
      <c r="A271" s="113"/>
      <c r="B271" s="114"/>
      <c r="C271" s="114"/>
      <c r="D271" s="115"/>
      <c r="E271" s="104"/>
      <c r="F271" s="117"/>
      <c r="G271" s="117"/>
      <c r="H271" s="117"/>
      <c r="I271" s="117"/>
      <c r="J271" s="117"/>
      <c r="K271" s="110"/>
      <c r="L271" s="110"/>
      <c r="M271" s="110"/>
      <c r="N271" s="110"/>
      <c r="O271" s="117"/>
      <c r="P271" s="119">
        <f t="array" ref="P271">LEN(D271)-SUM((LEN(D271)-LEN(SUBSTITUTE(D271,修饰列表!$B$2:$B$80,修饰列表!$D$2:$D$80))))</f>
        <v>0</v>
      </c>
      <c r="Q271" s="120">
        <f t="shared" si="3"/>
        <v>0</v>
      </c>
    </row>
    <row r="272" spans="1:17" x14ac:dyDescent="0.25">
      <c r="A272" s="113"/>
      <c r="B272" s="114"/>
      <c r="C272" s="114"/>
      <c r="D272" s="115"/>
      <c r="E272" s="104"/>
      <c r="F272" s="117"/>
      <c r="G272" s="117"/>
      <c r="H272" s="117"/>
      <c r="I272" s="117"/>
      <c r="J272" s="117"/>
      <c r="K272" s="110"/>
      <c r="L272" s="110"/>
      <c r="M272" s="110"/>
      <c r="N272" s="110"/>
      <c r="O272" s="117"/>
      <c r="P272" s="119">
        <f t="array" ref="P272">LEN(D272)-SUM((LEN(D272)-LEN(SUBSTITUTE(D272,修饰列表!$B$2:$B$80,修饰列表!$D$2:$D$80))))</f>
        <v>0</v>
      </c>
      <c r="Q272" s="120">
        <f t="shared" si="3"/>
        <v>0</v>
      </c>
    </row>
    <row r="273" spans="1:17" x14ac:dyDescent="0.25">
      <c r="A273" s="113"/>
      <c r="B273" s="114"/>
      <c r="C273" s="114"/>
      <c r="D273" s="115"/>
      <c r="E273" s="104"/>
      <c r="F273" s="117"/>
      <c r="G273" s="117"/>
      <c r="H273" s="117"/>
      <c r="I273" s="117"/>
      <c r="J273" s="117"/>
      <c r="K273" s="110"/>
      <c r="L273" s="110"/>
      <c r="M273" s="110"/>
      <c r="N273" s="110"/>
      <c r="O273" s="117"/>
      <c r="P273" s="119">
        <f t="array" ref="P273">LEN(D273)-SUM((LEN(D273)-LEN(SUBSTITUTE(D273,修饰列表!$B$2:$B$80,修饰列表!$D$2:$D$80))))</f>
        <v>0</v>
      </c>
      <c r="Q273" s="120">
        <f t="shared" si="3"/>
        <v>0</v>
      </c>
    </row>
    <row r="274" spans="1:17" x14ac:dyDescent="0.25">
      <c r="A274" s="113"/>
      <c r="B274" s="114"/>
      <c r="C274" s="114"/>
      <c r="D274" s="115"/>
      <c r="E274" s="104"/>
      <c r="F274" s="117"/>
      <c r="G274" s="117"/>
      <c r="H274" s="117"/>
      <c r="I274" s="117"/>
      <c r="J274" s="117"/>
      <c r="K274" s="110"/>
      <c r="L274" s="110"/>
      <c r="M274" s="110"/>
      <c r="N274" s="110"/>
      <c r="O274" s="117"/>
      <c r="P274" s="119">
        <f t="array" ref="P274">LEN(D274)-SUM((LEN(D274)-LEN(SUBSTITUTE(D274,修饰列表!$B$2:$B$80,修饰列表!$D$2:$D$80))))</f>
        <v>0</v>
      </c>
      <c r="Q274" s="120">
        <f t="shared" si="3"/>
        <v>0</v>
      </c>
    </row>
    <row r="275" spans="1:17" x14ac:dyDescent="0.25">
      <c r="A275" s="113"/>
      <c r="B275" s="114"/>
      <c r="C275" s="114"/>
      <c r="D275" s="115"/>
      <c r="E275" s="104"/>
      <c r="F275" s="117"/>
      <c r="G275" s="117"/>
      <c r="H275" s="117"/>
      <c r="I275" s="117"/>
      <c r="J275" s="117"/>
      <c r="K275" s="110"/>
      <c r="L275" s="110"/>
      <c r="M275" s="110"/>
      <c r="N275" s="110"/>
      <c r="O275" s="117"/>
      <c r="P275" s="119">
        <f t="array" ref="P275">LEN(D275)-SUM((LEN(D275)-LEN(SUBSTITUTE(D275,修饰列表!$B$2:$B$80,修饰列表!$D$2:$D$80))))</f>
        <v>0</v>
      </c>
      <c r="Q275" s="120">
        <f t="shared" si="3"/>
        <v>0</v>
      </c>
    </row>
    <row r="276" spans="1:17" x14ac:dyDescent="0.25">
      <c r="A276" s="113"/>
      <c r="B276" s="114"/>
      <c r="C276" s="114"/>
      <c r="D276" s="115"/>
      <c r="E276" s="104"/>
      <c r="F276" s="117"/>
      <c r="G276" s="117"/>
      <c r="H276" s="117"/>
      <c r="I276" s="117"/>
      <c r="J276" s="117"/>
      <c r="K276" s="110"/>
      <c r="L276" s="110"/>
      <c r="M276" s="110"/>
      <c r="N276" s="110"/>
      <c r="O276" s="117"/>
      <c r="P276" s="119">
        <f t="array" ref="P276">LEN(D276)-SUM((LEN(D276)-LEN(SUBSTITUTE(D276,修饰列表!$B$2:$B$80,修饰列表!$D$2:$D$80))))</f>
        <v>0</v>
      </c>
      <c r="Q276" s="120">
        <f t="shared" si="3"/>
        <v>0</v>
      </c>
    </row>
    <row r="277" spans="1:17" x14ac:dyDescent="0.25">
      <c r="A277" s="113"/>
      <c r="B277" s="114"/>
      <c r="C277" s="114"/>
      <c r="D277" s="115"/>
      <c r="E277" s="104"/>
      <c r="F277" s="117"/>
      <c r="G277" s="117"/>
      <c r="H277" s="117"/>
      <c r="I277" s="117"/>
      <c r="J277" s="117"/>
      <c r="K277" s="110"/>
      <c r="L277" s="110"/>
      <c r="M277" s="110"/>
      <c r="N277" s="110"/>
      <c r="O277" s="117"/>
      <c r="P277" s="119">
        <f t="array" ref="P277">LEN(D277)-SUM((LEN(D277)-LEN(SUBSTITUTE(D277,修饰列表!$B$2:$B$80,修饰列表!$D$2:$D$80))))</f>
        <v>0</v>
      </c>
      <c r="Q277" s="120">
        <f t="shared" ref="Q277:Q340" si="5">IF(I277="",H277*J277,H277*I277)</f>
        <v>0</v>
      </c>
    </row>
    <row r="278" spans="1:17" x14ac:dyDescent="0.25">
      <c r="A278" s="113"/>
      <c r="B278" s="114"/>
      <c r="C278" s="114"/>
      <c r="D278" s="115"/>
      <c r="E278" s="104"/>
      <c r="F278" s="117"/>
      <c r="G278" s="117"/>
      <c r="H278" s="117"/>
      <c r="I278" s="117"/>
      <c r="J278" s="117"/>
      <c r="K278" s="110"/>
      <c r="L278" s="110"/>
      <c r="M278" s="110"/>
      <c r="N278" s="110"/>
      <c r="O278" s="117"/>
      <c r="P278" s="119">
        <f t="array" ref="P278">LEN(D278)-SUM((LEN(D278)-LEN(SUBSTITUTE(D278,修饰列表!$B$2:$B$80,修饰列表!$D$2:$D$80))))</f>
        <v>0</v>
      </c>
      <c r="Q278" s="120">
        <f t="shared" si="5"/>
        <v>0</v>
      </c>
    </row>
    <row r="279" spans="1:17" x14ac:dyDescent="0.25">
      <c r="A279" s="113"/>
      <c r="B279" s="114"/>
      <c r="C279" s="114"/>
      <c r="D279" s="115"/>
      <c r="E279" s="104"/>
      <c r="F279" s="117"/>
      <c r="G279" s="117"/>
      <c r="H279" s="117"/>
      <c r="I279" s="117"/>
      <c r="J279" s="117"/>
      <c r="K279" s="110"/>
      <c r="L279" s="110"/>
      <c r="M279" s="110"/>
      <c r="N279" s="110"/>
      <c r="O279" s="117"/>
      <c r="P279" s="119">
        <f t="array" ref="P279">LEN(D279)-SUM((LEN(D279)-LEN(SUBSTITUTE(D279,修饰列表!$B$2:$B$80,修饰列表!$D$2:$D$80))))</f>
        <v>0</v>
      </c>
      <c r="Q279" s="120">
        <f t="shared" si="5"/>
        <v>0</v>
      </c>
    </row>
    <row r="280" spans="1:17" x14ac:dyDescent="0.25">
      <c r="A280" s="113"/>
      <c r="B280" s="114"/>
      <c r="C280" s="114"/>
      <c r="D280" s="115"/>
      <c r="E280" s="104"/>
      <c r="F280" s="117"/>
      <c r="G280" s="117"/>
      <c r="H280" s="117"/>
      <c r="I280" s="117"/>
      <c r="J280" s="117"/>
      <c r="K280" s="110"/>
      <c r="L280" s="110"/>
      <c r="M280" s="110"/>
      <c r="N280" s="110"/>
      <c r="O280" s="117"/>
      <c r="P280" s="119">
        <f t="array" ref="P280">LEN(D280)-SUM((LEN(D280)-LEN(SUBSTITUTE(D280,修饰列表!$B$2:$B$80,修饰列表!$D$2:$D$80))))</f>
        <v>0</v>
      </c>
      <c r="Q280" s="120">
        <f t="shared" si="5"/>
        <v>0</v>
      </c>
    </row>
    <row r="281" spans="1:17" x14ac:dyDescent="0.25">
      <c r="A281" s="113"/>
      <c r="B281" s="114"/>
      <c r="C281" s="114"/>
      <c r="D281" s="115"/>
      <c r="E281" s="104"/>
      <c r="F281" s="117"/>
      <c r="G281" s="117"/>
      <c r="H281" s="117"/>
      <c r="I281" s="117"/>
      <c r="J281" s="117"/>
      <c r="K281" s="110"/>
      <c r="L281" s="110"/>
      <c r="M281" s="110"/>
      <c r="N281" s="110"/>
      <c r="O281" s="117"/>
      <c r="P281" s="119">
        <f t="array" ref="P281">LEN(D281)-SUM((LEN(D281)-LEN(SUBSTITUTE(D281,修饰列表!$B$2:$B$80,修饰列表!$D$2:$D$80))))</f>
        <v>0</v>
      </c>
      <c r="Q281" s="120">
        <f t="shared" si="5"/>
        <v>0</v>
      </c>
    </row>
    <row r="282" spans="1:17" x14ac:dyDescent="0.25">
      <c r="A282" s="113"/>
      <c r="B282" s="114"/>
      <c r="C282" s="114"/>
      <c r="D282" s="115"/>
      <c r="E282" s="104"/>
      <c r="F282" s="117"/>
      <c r="G282" s="117"/>
      <c r="H282" s="117"/>
      <c r="I282" s="117"/>
      <c r="J282" s="117"/>
      <c r="K282" s="110"/>
      <c r="L282" s="110"/>
      <c r="M282" s="110"/>
      <c r="N282" s="110"/>
      <c r="O282" s="117"/>
      <c r="P282" s="119">
        <f t="array" ref="P282">LEN(D282)-SUM((LEN(D282)-LEN(SUBSTITUTE(D282,修饰列表!$B$2:$B$80,修饰列表!$D$2:$D$80))))</f>
        <v>0</v>
      </c>
      <c r="Q282" s="120">
        <f t="shared" si="5"/>
        <v>0</v>
      </c>
    </row>
    <row r="283" spans="1:17" x14ac:dyDescent="0.25">
      <c r="A283" s="113"/>
      <c r="B283" s="114"/>
      <c r="C283" s="114"/>
      <c r="D283" s="115"/>
      <c r="E283" s="104"/>
      <c r="F283" s="117"/>
      <c r="G283" s="117"/>
      <c r="H283" s="117"/>
      <c r="I283" s="117"/>
      <c r="J283" s="117"/>
      <c r="K283" s="110"/>
      <c r="L283" s="110"/>
      <c r="M283" s="110"/>
      <c r="N283" s="110"/>
      <c r="O283" s="117"/>
      <c r="P283" s="119">
        <f t="array" ref="P283">LEN(D283)-SUM((LEN(D283)-LEN(SUBSTITUTE(D283,修饰列表!$B$2:$B$80,修饰列表!$D$2:$D$80))))</f>
        <v>0</v>
      </c>
      <c r="Q283" s="120">
        <f t="shared" si="5"/>
        <v>0</v>
      </c>
    </row>
    <row r="284" spans="1:17" x14ac:dyDescent="0.25">
      <c r="A284" s="113"/>
      <c r="B284" s="114"/>
      <c r="C284" s="114"/>
      <c r="D284" s="115"/>
      <c r="E284" s="104"/>
      <c r="F284" s="117"/>
      <c r="G284" s="117"/>
      <c r="H284" s="117"/>
      <c r="I284" s="117"/>
      <c r="J284" s="117"/>
      <c r="K284" s="110"/>
      <c r="L284" s="110"/>
      <c r="M284" s="110"/>
      <c r="N284" s="110"/>
      <c r="O284" s="117"/>
      <c r="P284" s="119">
        <f t="array" ref="P284">LEN(D284)-SUM((LEN(D284)-LEN(SUBSTITUTE(D284,修饰列表!$B$2:$B$80,修饰列表!$D$2:$D$80))))</f>
        <v>0</v>
      </c>
      <c r="Q284" s="120">
        <f t="shared" si="5"/>
        <v>0</v>
      </c>
    </row>
    <row r="285" spans="1:17" x14ac:dyDescent="0.25">
      <c r="A285" s="113"/>
      <c r="B285" s="114"/>
      <c r="C285" s="114"/>
      <c r="D285" s="115"/>
      <c r="E285" s="104"/>
      <c r="F285" s="117"/>
      <c r="G285" s="117"/>
      <c r="H285" s="117"/>
      <c r="I285" s="117"/>
      <c r="J285" s="117"/>
      <c r="K285" s="110"/>
      <c r="L285" s="110"/>
      <c r="M285" s="110"/>
      <c r="N285" s="110"/>
      <c r="O285" s="117"/>
      <c r="P285" s="119">
        <f t="array" ref="P285">LEN(D285)-SUM((LEN(D285)-LEN(SUBSTITUTE(D285,修饰列表!$B$2:$B$80,修饰列表!$D$2:$D$80))))</f>
        <v>0</v>
      </c>
      <c r="Q285" s="120">
        <f t="shared" si="5"/>
        <v>0</v>
      </c>
    </row>
    <row r="286" spans="1:17" x14ac:dyDescent="0.25">
      <c r="A286" s="113"/>
      <c r="B286" s="114"/>
      <c r="C286" s="114"/>
      <c r="D286" s="115"/>
      <c r="E286" s="104"/>
      <c r="F286" s="117"/>
      <c r="G286" s="117"/>
      <c r="H286" s="117"/>
      <c r="I286" s="117"/>
      <c r="J286" s="117"/>
      <c r="K286" s="110"/>
      <c r="L286" s="110"/>
      <c r="M286" s="110"/>
      <c r="N286" s="110"/>
      <c r="O286" s="117"/>
      <c r="P286" s="119">
        <f t="array" ref="P286">LEN(D286)-SUM((LEN(D286)-LEN(SUBSTITUTE(D286,修饰列表!$B$2:$B$80,修饰列表!$D$2:$D$80))))</f>
        <v>0</v>
      </c>
      <c r="Q286" s="120">
        <f t="shared" si="5"/>
        <v>0</v>
      </c>
    </row>
    <row r="287" spans="1:17" x14ac:dyDescent="0.25">
      <c r="A287" s="113"/>
      <c r="B287" s="114"/>
      <c r="C287" s="114"/>
      <c r="D287" s="115"/>
      <c r="E287" s="104"/>
      <c r="F287" s="117"/>
      <c r="G287" s="117"/>
      <c r="H287" s="117"/>
      <c r="I287" s="117"/>
      <c r="J287" s="117"/>
      <c r="K287" s="110"/>
      <c r="L287" s="110"/>
      <c r="M287" s="110"/>
      <c r="N287" s="110"/>
      <c r="O287" s="117"/>
      <c r="P287" s="119">
        <f t="array" ref="P287">LEN(D287)-SUM((LEN(D287)-LEN(SUBSTITUTE(D287,修饰列表!$B$2:$B$80,修饰列表!$D$2:$D$80))))</f>
        <v>0</v>
      </c>
      <c r="Q287" s="120">
        <f t="shared" si="5"/>
        <v>0</v>
      </c>
    </row>
    <row r="288" spans="1:17" x14ac:dyDescent="0.25">
      <c r="A288" s="113"/>
      <c r="B288" s="114"/>
      <c r="C288" s="114"/>
      <c r="D288" s="115"/>
      <c r="E288" s="104"/>
      <c r="F288" s="117"/>
      <c r="G288" s="117"/>
      <c r="H288" s="117"/>
      <c r="I288" s="117"/>
      <c r="J288" s="117"/>
      <c r="K288" s="110"/>
      <c r="L288" s="110"/>
      <c r="M288" s="110"/>
      <c r="N288" s="110"/>
      <c r="O288" s="117"/>
      <c r="P288" s="119">
        <f t="array" ref="P288">LEN(D288)-SUM((LEN(D288)-LEN(SUBSTITUTE(D288,修饰列表!$B$2:$B$80,修饰列表!$D$2:$D$80))))</f>
        <v>0</v>
      </c>
      <c r="Q288" s="120">
        <f t="shared" si="5"/>
        <v>0</v>
      </c>
    </row>
    <row r="289" spans="1:17" x14ac:dyDescent="0.25">
      <c r="A289" s="113"/>
      <c r="B289" s="114"/>
      <c r="C289" s="114"/>
      <c r="D289" s="115"/>
      <c r="E289" s="104"/>
      <c r="F289" s="117"/>
      <c r="G289" s="117"/>
      <c r="H289" s="117"/>
      <c r="I289" s="117"/>
      <c r="J289" s="117"/>
      <c r="K289" s="110"/>
      <c r="L289" s="110"/>
      <c r="M289" s="110"/>
      <c r="N289" s="110"/>
      <c r="O289" s="117"/>
      <c r="P289" s="119">
        <f t="array" ref="P289">LEN(D289)-SUM((LEN(D289)-LEN(SUBSTITUTE(D289,修饰列表!$B$2:$B$80,修饰列表!$D$2:$D$80))))</f>
        <v>0</v>
      </c>
      <c r="Q289" s="120">
        <f t="shared" si="5"/>
        <v>0</v>
      </c>
    </row>
    <row r="290" spans="1:17" x14ac:dyDescent="0.25">
      <c r="A290" s="113"/>
      <c r="B290" s="114"/>
      <c r="C290" s="114"/>
      <c r="D290" s="115"/>
      <c r="E290" s="104"/>
      <c r="F290" s="117"/>
      <c r="G290" s="117"/>
      <c r="H290" s="117"/>
      <c r="I290" s="117"/>
      <c r="J290" s="117"/>
      <c r="K290" s="110"/>
      <c r="L290" s="110"/>
      <c r="M290" s="110"/>
      <c r="N290" s="110"/>
      <c r="O290" s="117"/>
      <c r="P290" s="119">
        <f t="array" ref="P290">LEN(D290)-SUM((LEN(D290)-LEN(SUBSTITUTE(D290,修饰列表!$B$2:$B$80,修饰列表!$D$2:$D$80))))</f>
        <v>0</v>
      </c>
      <c r="Q290" s="120">
        <f t="shared" si="5"/>
        <v>0</v>
      </c>
    </row>
    <row r="291" spans="1:17" x14ac:dyDescent="0.25">
      <c r="A291" s="113"/>
      <c r="B291" s="114"/>
      <c r="C291" s="114"/>
      <c r="D291" s="115"/>
      <c r="E291" s="104"/>
      <c r="F291" s="117"/>
      <c r="G291" s="117"/>
      <c r="H291" s="117"/>
      <c r="I291" s="117"/>
      <c r="J291" s="117"/>
      <c r="K291" s="110"/>
      <c r="L291" s="110"/>
      <c r="M291" s="110"/>
      <c r="N291" s="110"/>
      <c r="O291" s="117"/>
      <c r="P291" s="119">
        <f t="array" ref="P291">LEN(D291)-SUM((LEN(D291)-LEN(SUBSTITUTE(D291,修饰列表!$B$2:$B$80,修饰列表!$D$2:$D$80))))</f>
        <v>0</v>
      </c>
      <c r="Q291" s="120">
        <f t="shared" si="5"/>
        <v>0</v>
      </c>
    </row>
    <row r="292" spans="1:17" x14ac:dyDescent="0.25">
      <c r="A292" s="113"/>
      <c r="B292" s="114"/>
      <c r="C292" s="114"/>
      <c r="D292" s="115"/>
      <c r="E292" s="104"/>
      <c r="F292" s="117"/>
      <c r="G292" s="117"/>
      <c r="H292" s="117"/>
      <c r="I292" s="117"/>
      <c r="J292" s="117"/>
      <c r="K292" s="110"/>
      <c r="L292" s="110"/>
      <c r="M292" s="110"/>
      <c r="N292" s="110"/>
      <c r="O292" s="117"/>
      <c r="P292" s="119">
        <f t="array" ref="P292">LEN(D292)-SUM((LEN(D292)-LEN(SUBSTITUTE(D292,修饰列表!$B$2:$B$80,修饰列表!$D$2:$D$80))))</f>
        <v>0</v>
      </c>
      <c r="Q292" s="120">
        <f t="shared" si="5"/>
        <v>0</v>
      </c>
    </row>
    <row r="293" spans="1:17" x14ac:dyDescent="0.25">
      <c r="A293" s="113"/>
      <c r="B293" s="114"/>
      <c r="C293" s="114"/>
      <c r="D293" s="115"/>
      <c r="E293" s="104"/>
      <c r="F293" s="117"/>
      <c r="G293" s="117"/>
      <c r="H293" s="117"/>
      <c r="I293" s="117"/>
      <c r="J293" s="117"/>
      <c r="K293" s="110"/>
      <c r="L293" s="110"/>
      <c r="M293" s="110"/>
      <c r="N293" s="110"/>
      <c r="O293" s="117"/>
      <c r="P293" s="119">
        <f t="array" ref="P293">LEN(D293)-SUM((LEN(D293)-LEN(SUBSTITUTE(D293,修饰列表!$B$2:$B$80,修饰列表!$D$2:$D$80))))</f>
        <v>0</v>
      </c>
      <c r="Q293" s="120">
        <f t="shared" si="5"/>
        <v>0</v>
      </c>
    </row>
    <row r="294" spans="1:17" x14ac:dyDescent="0.25">
      <c r="A294" s="113"/>
      <c r="B294" s="114"/>
      <c r="C294" s="114"/>
      <c r="D294" s="115"/>
      <c r="E294" s="104"/>
      <c r="F294" s="117"/>
      <c r="G294" s="117"/>
      <c r="H294" s="117"/>
      <c r="I294" s="117"/>
      <c r="J294" s="117"/>
      <c r="K294" s="110"/>
      <c r="L294" s="110"/>
      <c r="M294" s="110"/>
      <c r="N294" s="110"/>
      <c r="O294" s="117"/>
      <c r="P294" s="119">
        <f t="array" ref="P294">LEN(D294)-SUM((LEN(D294)-LEN(SUBSTITUTE(D294,修饰列表!$B$2:$B$80,修饰列表!$D$2:$D$80))))</f>
        <v>0</v>
      </c>
      <c r="Q294" s="120">
        <f t="shared" si="5"/>
        <v>0</v>
      </c>
    </row>
    <row r="295" spans="1:17" x14ac:dyDescent="0.25">
      <c r="A295" s="113"/>
      <c r="B295" s="114"/>
      <c r="C295" s="114"/>
      <c r="D295" s="115"/>
      <c r="E295" s="104"/>
      <c r="F295" s="117"/>
      <c r="G295" s="117"/>
      <c r="H295" s="117"/>
      <c r="I295" s="117"/>
      <c r="J295" s="117"/>
      <c r="K295" s="110"/>
      <c r="L295" s="110"/>
      <c r="M295" s="110"/>
      <c r="N295" s="110"/>
      <c r="O295" s="117"/>
      <c r="P295" s="119">
        <f t="array" ref="P295">LEN(D295)-SUM((LEN(D295)-LEN(SUBSTITUTE(D295,修饰列表!$B$2:$B$80,修饰列表!$D$2:$D$80))))</f>
        <v>0</v>
      </c>
      <c r="Q295" s="120">
        <f t="shared" si="5"/>
        <v>0</v>
      </c>
    </row>
    <row r="296" spans="1:17" x14ac:dyDescent="0.25">
      <c r="A296" s="113"/>
      <c r="B296" s="114"/>
      <c r="C296" s="114"/>
      <c r="D296" s="115"/>
      <c r="E296" s="104"/>
      <c r="F296" s="117"/>
      <c r="G296" s="117"/>
      <c r="H296" s="117"/>
      <c r="I296" s="117"/>
      <c r="J296" s="117"/>
      <c r="K296" s="110"/>
      <c r="L296" s="110"/>
      <c r="M296" s="110"/>
      <c r="N296" s="110"/>
      <c r="O296" s="117"/>
      <c r="P296" s="119">
        <f t="array" ref="P296">LEN(D296)-SUM((LEN(D296)-LEN(SUBSTITUTE(D296,修饰列表!$B$2:$B$80,修饰列表!$D$2:$D$80))))</f>
        <v>0</v>
      </c>
      <c r="Q296" s="120">
        <f t="shared" si="5"/>
        <v>0</v>
      </c>
    </row>
    <row r="297" spans="1:17" x14ac:dyDescent="0.25">
      <c r="A297" s="113"/>
      <c r="B297" s="114"/>
      <c r="C297" s="114"/>
      <c r="D297" s="115"/>
      <c r="E297" s="104"/>
      <c r="F297" s="117"/>
      <c r="G297" s="117"/>
      <c r="H297" s="117"/>
      <c r="I297" s="117"/>
      <c r="J297" s="117"/>
      <c r="K297" s="110"/>
      <c r="L297" s="110"/>
      <c r="M297" s="110"/>
      <c r="N297" s="110"/>
      <c r="O297" s="117"/>
      <c r="P297" s="119">
        <f t="array" ref="P297">LEN(D297)-SUM((LEN(D297)-LEN(SUBSTITUTE(D297,修饰列表!$B$2:$B$80,修饰列表!$D$2:$D$80))))</f>
        <v>0</v>
      </c>
      <c r="Q297" s="120">
        <f t="shared" si="5"/>
        <v>0</v>
      </c>
    </row>
    <row r="298" spans="1:17" x14ac:dyDescent="0.25">
      <c r="A298" s="113"/>
      <c r="B298" s="114"/>
      <c r="C298" s="114"/>
      <c r="D298" s="115"/>
      <c r="E298" s="104"/>
      <c r="F298" s="117"/>
      <c r="G298" s="117"/>
      <c r="H298" s="117"/>
      <c r="I298" s="117"/>
      <c r="J298" s="117"/>
      <c r="K298" s="110"/>
      <c r="L298" s="110"/>
      <c r="M298" s="110"/>
      <c r="N298" s="110"/>
      <c r="O298" s="117"/>
      <c r="P298" s="119">
        <f t="array" ref="P298">LEN(D298)-SUM((LEN(D298)-LEN(SUBSTITUTE(D298,修饰列表!$B$2:$B$80,修饰列表!$D$2:$D$80))))</f>
        <v>0</v>
      </c>
      <c r="Q298" s="120">
        <f t="shared" si="5"/>
        <v>0</v>
      </c>
    </row>
    <row r="299" spans="1:17" x14ac:dyDescent="0.25">
      <c r="A299" s="113"/>
      <c r="B299" s="114"/>
      <c r="C299" s="114"/>
      <c r="D299" s="115"/>
      <c r="E299" s="104"/>
      <c r="F299" s="117"/>
      <c r="G299" s="117"/>
      <c r="H299" s="117"/>
      <c r="I299" s="117"/>
      <c r="J299" s="117"/>
      <c r="K299" s="110"/>
      <c r="L299" s="110"/>
      <c r="M299" s="110"/>
      <c r="N299" s="110"/>
      <c r="O299" s="117"/>
      <c r="P299" s="119">
        <f t="array" ref="P299">LEN(D299)-SUM((LEN(D299)-LEN(SUBSTITUTE(D299,修饰列表!$B$2:$B$80,修饰列表!$D$2:$D$80))))</f>
        <v>0</v>
      </c>
      <c r="Q299" s="120">
        <f t="shared" si="5"/>
        <v>0</v>
      </c>
    </row>
    <row r="300" spans="1:17" x14ac:dyDescent="0.25">
      <c r="A300" s="113"/>
      <c r="B300" s="114"/>
      <c r="C300" s="114"/>
      <c r="D300" s="115"/>
      <c r="E300" s="104"/>
      <c r="F300" s="117"/>
      <c r="G300" s="117"/>
      <c r="H300" s="117"/>
      <c r="I300" s="117"/>
      <c r="J300" s="117"/>
      <c r="K300" s="110"/>
      <c r="L300" s="110"/>
      <c r="M300" s="110"/>
      <c r="N300" s="110"/>
      <c r="O300" s="117"/>
      <c r="P300" s="119">
        <f t="array" ref="P300">LEN(D300)-SUM((LEN(D300)-LEN(SUBSTITUTE(D300,修饰列表!$B$2:$B$80,修饰列表!$D$2:$D$80))))</f>
        <v>0</v>
      </c>
      <c r="Q300" s="120">
        <f t="shared" si="5"/>
        <v>0</v>
      </c>
    </row>
    <row r="301" spans="1:17" x14ac:dyDescent="0.25">
      <c r="A301" s="113"/>
      <c r="B301" s="114"/>
      <c r="C301" s="114"/>
      <c r="D301" s="115"/>
      <c r="E301" s="104"/>
      <c r="F301" s="117"/>
      <c r="G301" s="117"/>
      <c r="H301" s="117"/>
      <c r="I301" s="117"/>
      <c r="J301" s="117"/>
      <c r="K301" s="110"/>
      <c r="L301" s="110"/>
      <c r="M301" s="110"/>
      <c r="N301" s="110"/>
      <c r="O301" s="117"/>
      <c r="P301" s="119">
        <f t="array" ref="P301">LEN(D301)-SUM((LEN(D301)-LEN(SUBSTITUTE(D301,修饰列表!$B$2:$B$80,修饰列表!$D$2:$D$80))))</f>
        <v>0</v>
      </c>
      <c r="Q301" s="120">
        <f t="shared" si="5"/>
        <v>0</v>
      </c>
    </row>
    <row r="302" spans="1:17" x14ac:dyDescent="0.25">
      <c r="A302" s="113"/>
      <c r="B302" s="114"/>
      <c r="C302" s="114"/>
      <c r="D302" s="115"/>
      <c r="E302" s="104"/>
      <c r="F302" s="117"/>
      <c r="G302" s="117"/>
      <c r="H302" s="117"/>
      <c r="I302" s="117"/>
      <c r="J302" s="117"/>
      <c r="K302" s="110"/>
      <c r="L302" s="110"/>
      <c r="M302" s="110"/>
      <c r="N302" s="110"/>
      <c r="O302" s="117"/>
      <c r="P302" s="119">
        <f t="array" ref="P302">LEN(D302)-SUM((LEN(D302)-LEN(SUBSTITUTE(D302,修饰列表!$B$2:$B$80,修饰列表!$D$2:$D$80))))</f>
        <v>0</v>
      </c>
      <c r="Q302" s="120">
        <f t="shared" si="5"/>
        <v>0</v>
      </c>
    </row>
    <row r="303" spans="1:17" x14ac:dyDescent="0.25">
      <c r="A303" s="113"/>
      <c r="B303" s="114"/>
      <c r="C303" s="114"/>
      <c r="D303" s="115"/>
      <c r="E303" s="104"/>
      <c r="F303" s="117"/>
      <c r="G303" s="117"/>
      <c r="H303" s="117"/>
      <c r="I303" s="117"/>
      <c r="J303" s="117"/>
      <c r="K303" s="110"/>
      <c r="L303" s="110"/>
      <c r="M303" s="110"/>
      <c r="N303" s="110"/>
      <c r="O303" s="117"/>
      <c r="P303" s="119">
        <f t="array" ref="P303">LEN(D303)-SUM((LEN(D303)-LEN(SUBSTITUTE(D303,修饰列表!$B$2:$B$80,修饰列表!$D$2:$D$80))))</f>
        <v>0</v>
      </c>
      <c r="Q303" s="120">
        <f t="shared" si="5"/>
        <v>0</v>
      </c>
    </row>
    <row r="304" spans="1:17" x14ac:dyDescent="0.25">
      <c r="A304" s="113"/>
      <c r="B304" s="114"/>
      <c r="C304" s="114"/>
      <c r="D304" s="115"/>
      <c r="E304" s="104"/>
      <c r="F304" s="117"/>
      <c r="G304" s="117"/>
      <c r="H304" s="117"/>
      <c r="I304" s="117"/>
      <c r="J304" s="117"/>
      <c r="K304" s="110"/>
      <c r="L304" s="110"/>
      <c r="M304" s="110"/>
      <c r="N304" s="110"/>
      <c r="O304" s="117"/>
      <c r="P304" s="119">
        <f t="array" ref="P304">LEN(D304)-SUM((LEN(D304)-LEN(SUBSTITUTE(D304,修饰列表!$B$2:$B$80,修饰列表!$D$2:$D$80))))</f>
        <v>0</v>
      </c>
      <c r="Q304" s="120">
        <f t="shared" si="5"/>
        <v>0</v>
      </c>
    </row>
    <row r="305" spans="1:17" x14ac:dyDescent="0.25">
      <c r="A305" s="113"/>
      <c r="B305" s="114"/>
      <c r="C305" s="114"/>
      <c r="D305" s="115"/>
      <c r="E305" s="104"/>
      <c r="F305" s="117"/>
      <c r="G305" s="117"/>
      <c r="H305" s="117"/>
      <c r="I305" s="117"/>
      <c r="J305" s="117"/>
      <c r="K305" s="110"/>
      <c r="L305" s="110"/>
      <c r="M305" s="110"/>
      <c r="N305" s="110"/>
      <c r="O305" s="117"/>
      <c r="P305" s="119">
        <f t="array" ref="P305">LEN(D305)-SUM((LEN(D305)-LEN(SUBSTITUTE(D305,修饰列表!$B$2:$B$80,修饰列表!$D$2:$D$80))))</f>
        <v>0</v>
      </c>
      <c r="Q305" s="120">
        <f t="shared" si="5"/>
        <v>0</v>
      </c>
    </row>
    <row r="306" spans="1:17" x14ac:dyDescent="0.25">
      <c r="A306" s="113"/>
      <c r="B306" s="114"/>
      <c r="C306" s="114"/>
      <c r="D306" s="115"/>
      <c r="E306" s="104"/>
      <c r="F306" s="117"/>
      <c r="G306" s="117"/>
      <c r="H306" s="117"/>
      <c r="I306" s="117"/>
      <c r="J306" s="117"/>
      <c r="K306" s="110"/>
      <c r="L306" s="110"/>
      <c r="M306" s="110"/>
      <c r="N306" s="110"/>
      <c r="O306" s="117"/>
      <c r="P306" s="119">
        <f t="array" ref="P306">LEN(D306)-SUM((LEN(D306)-LEN(SUBSTITUTE(D306,修饰列表!$B$2:$B$80,修饰列表!$D$2:$D$80))))</f>
        <v>0</v>
      </c>
      <c r="Q306" s="120">
        <f t="shared" si="5"/>
        <v>0</v>
      </c>
    </row>
    <row r="307" spans="1:17" x14ac:dyDescent="0.25">
      <c r="A307" s="113"/>
      <c r="B307" s="114"/>
      <c r="C307" s="114"/>
      <c r="D307" s="115"/>
      <c r="E307" s="104"/>
      <c r="F307" s="117"/>
      <c r="G307" s="117"/>
      <c r="H307" s="117"/>
      <c r="I307" s="117"/>
      <c r="J307" s="117"/>
      <c r="K307" s="110"/>
      <c r="L307" s="110"/>
      <c r="M307" s="110"/>
      <c r="N307" s="110"/>
      <c r="O307" s="117"/>
      <c r="P307" s="119">
        <f t="array" ref="P307">LEN(D307)-SUM((LEN(D307)-LEN(SUBSTITUTE(D307,修饰列表!$B$2:$B$80,修饰列表!$D$2:$D$80))))</f>
        <v>0</v>
      </c>
      <c r="Q307" s="120">
        <f t="shared" si="5"/>
        <v>0</v>
      </c>
    </row>
    <row r="308" spans="1:17" x14ac:dyDescent="0.25">
      <c r="A308" s="113"/>
      <c r="B308" s="114"/>
      <c r="C308" s="114"/>
      <c r="D308" s="115"/>
      <c r="E308" s="104"/>
      <c r="F308" s="117"/>
      <c r="G308" s="117"/>
      <c r="H308" s="117"/>
      <c r="I308" s="117"/>
      <c r="J308" s="117"/>
      <c r="K308" s="110"/>
      <c r="L308" s="110"/>
      <c r="M308" s="110"/>
      <c r="N308" s="110"/>
      <c r="O308" s="117"/>
      <c r="P308" s="119">
        <f t="array" ref="P308">LEN(D308)-SUM((LEN(D308)-LEN(SUBSTITUTE(D308,修饰列表!$B$2:$B$80,修饰列表!$D$2:$D$80))))</f>
        <v>0</v>
      </c>
      <c r="Q308" s="120">
        <f t="shared" si="5"/>
        <v>0</v>
      </c>
    </row>
    <row r="309" spans="1:17" x14ac:dyDescent="0.25">
      <c r="A309" s="113"/>
      <c r="B309" s="114"/>
      <c r="C309" s="114"/>
      <c r="D309" s="115"/>
      <c r="E309" s="104"/>
      <c r="F309" s="117"/>
      <c r="G309" s="117"/>
      <c r="H309" s="117"/>
      <c r="I309" s="117"/>
      <c r="J309" s="117"/>
      <c r="K309" s="110"/>
      <c r="L309" s="110"/>
      <c r="M309" s="110"/>
      <c r="N309" s="110"/>
      <c r="O309" s="117"/>
      <c r="P309" s="119">
        <f t="array" ref="P309">LEN(D309)-SUM((LEN(D309)-LEN(SUBSTITUTE(D309,修饰列表!$B$2:$B$80,修饰列表!$D$2:$D$80))))</f>
        <v>0</v>
      </c>
      <c r="Q309" s="120">
        <f t="shared" si="5"/>
        <v>0</v>
      </c>
    </row>
    <row r="310" spans="1:17" x14ac:dyDescent="0.25">
      <c r="A310" s="113"/>
      <c r="B310" s="114"/>
      <c r="C310" s="114"/>
      <c r="D310" s="115"/>
      <c r="E310" s="104"/>
      <c r="F310" s="117"/>
      <c r="G310" s="117"/>
      <c r="H310" s="117"/>
      <c r="I310" s="117"/>
      <c r="J310" s="117"/>
      <c r="K310" s="110"/>
      <c r="L310" s="110"/>
      <c r="M310" s="110"/>
      <c r="N310" s="110"/>
      <c r="O310" s="117"/>
      <c r="P310" s="119">
        <f t="array" ref="P310">LEN(D310)-SUM((LEN(D310)-LEN(SUBSTITUTE(D310,修饰列表!$B$2:$B$80,修饰列表!$D$2:$D$80))))</f>
        <v>0</v>
      </c>
      <c r="Q310" s="120">
        <f t="shared" si="5"/>
        <v>0</v>
      </c>
    </row>
    <row r="311" spans="1:17" x14ac:dyDescent="0.25">
      <c r="A311" s="113"/>
      <c r="B311" s="114"/>
      <c r="C311" s="114"/>
      <c r="D311" s="115"/>
      <c r="E311" s="104"/>
      <c r="F311" s="117"/>
      <c r="G311" s="117"/>
      <c r="H311" s="117"/>
      <c r="I311" s="117"/>
      <c r="J311" s="117"/>
      <c r="K311" s="110"/>
      <c r="L311" s="110"/>
      <c r="M311" s="110"/>
      <c r="N311" s="110"/>
      <c r="O311" s="117"/>
      <c r="P311" s="119">
        <f t="array" ref="P311">LEN(D311)-SUM((LEN(D311)-LEN(SUBSTITUTE(D311,修饰列表!$B$2:$B$80,修饰列表!$D$2:$D$80))))</f>
        <v>0</v>
      </c>
      <c r="Q311" s="120">
        <f t="shared" si="5"/>
        <v>0</v>
      </c>
    </row>
    <row r="312" spans="1:17" x14ac:dyDescent="0.25">
      <c r="A312" s="113"/>
      <c r="B312" s="114"/>
      <c r="C312" s="114"/>
      <c r="D312" s="115"/>
      <c r="E312" s="104"/>
      <c r="F312" s="117"/>
      <c r="G312" s="117"/>
      <c r="H312" s="117"/>
      <c r="I312" s="117"/>
      <c r="J312" s="117"/>
      <c r="K312" s="110"/>
      <c r="L312" s="110"/>
      <c r="M312" s="110"/>
      <c r="N312" s="110"/>
      <c r="O312" s="117"/>
      <c r="P312" s="119">
        <f t="array" ref="P312">LEN(D312)-SUM((LEN(D312)-LEN(SUBSTITUTE(D312,修饰列表!$B$2:$B$80,修饰列表!$D$2:$D$80))))</f>
        <v>0</v>
      </c>
      <c r="Q312" s="120">
        <f t="shared" si="5"/>
        <v>0</v>
      </c>
    </row>
    <row r="313" spans="1:17" x14ac:dyDescent="0.25">
      <c r="A313" s="113"/>
      <c r="B313" s="114"/>
      <c r="C313" s="114"/>
      <c r="D313" s="115"/>
      <c r="E313" s="104"/>
      <c r="F313" s="117"/>
      <c r="G313" s="117"/>
      <c r="H313" s="117"/>
      <c r="I313" s="117"/>
      <c r="J313" s="117"/>
      <c r="K313" s="110"/>
      <c r="L313" s="110"/>
      <c r="M313" s="110"/>
      <c r="N313" s="110"/>
      <c r="O313" s="117"/>
      <c r="P313" s="119">
        <f t="array" ref="P313">LEN(D313)-SUM((LEN(D313)-LEN(SUBSTITUTE(D313,修饰列表!$B$2:$B$80,修饰列表!$D$2:$D$80))))</f>
        <v>0</v>
      </c>
      <c r="Q313" s="120">
        <f t="shared" si="5"/>
        <v>0</v>
      </c>
    </row>
    <row r="314" spans="1:17" x14ac:dyDescent="0.25">
      <c r="A314" s="113"/>
      <c r="B314" s="114"/>
      <c r="C314" s="114"/>
      <c r="D314" s="115"/>
      <c r="E314" s="104"/>
      <c r="F314" s="117"/>
      <c r="G314" s="117"/>
      <c r="H314" s="117"/>
      <c r="I314" s="117"/>
      <c r="J314" s="117"/>
      <c r="K314" s="110"/>
      <c r="L314" s="110"/>
      <c r="M314" s="110"/>
      <c r="N314" s="110"/>
      <c r="O314" s="117"/>
      <c r="P314" s="119">
        <f t="array" ref="P314">LEN(D314)-SUM((LEN(D314)-LEN(SUBSTITUTE(D314,修饰列表!$B$2:$B$80,修饰列表!$D$2:$D$80))))</f>
        <v>0</v>
      </c>
      <c r="Q314" s="120">
        <f t="shared" si="5"/>
        <v>0</v>
      </c>
    </row>
    <row r="315" spans="1:17" x14ac:dyDescent="0.25">
      <c r="A315" s="113"/>
      <c r="B315" s="114"/>
      <c r="C315" s="114"/>
      <c r="D315" s="115"/>
      <c r="E315" s="104"/>
      <c r="F315" s="117"/>
      <c r="G315" s="117"/>
      <c r="H315" s="117"/>
      <c r="I315" s="117"/>
      <c r="J315" s="117"/>
      <c r="K315" s="110"/>
      <c r="L315" s="110"/>
      <c r="M315" s="110"/>
      <c r="N315" s="110"/>
      <c r="O315" s="117"/>
      <c r="P315" s="119">
        <f t="array" ref="P315">LEN(D315)-SUM((LEN(D315)-LEN(SUBSTITUTE(D315,修饰列表!$B$2:$B$80,修饰列表!$D$2:$D$80))))</f>
        <v>0</v>
      </c>
      <c r="Q315" s="120">
        <f t="shared" si="5"/>
        <v>0</v>
      </c>
    </row>
    <row r="316" spans="1:17" x14ac:dyDescent="0.25">
      <c r="A316" s="113"/>
      <c r="B316" s="114"/>
      <c r="C316" s="114"/>
      <c r="D316" s="115"/>
      <c r="E316" s="104"/>
      <c r="F316" s="117"/>
      <c r="G316" s="117"/>
      <c r="H316" s="117"/>
      <c r="I316" s="117"/>
      <c r="J316" s="117"/>
      <c r="K316" s="110"/>
      <c r="L316" s="110"/>
      <c r="M316" s="110"/>
      <c r="N316" s="110"/>
      <c r="O316" s="117"/>
      <c r="P316" s="119">
        <f t="array" ref="P316">LEN(D316)-SUM((LEN(D316)-LEN(SUBSTITUTE(D316,修饰列表!$B$2:$B$80,修饰列表!$D$2:$D$80))))</f>
        <v>0</v>
      </c>
      <c r="Q316" s="120">
        <f t="shared" si="5"/>
        <v>0</v>
      </c>
    </row>
    <row r="317" spans="1:17" x14ac:dyDescent="0.25">
      <c r="A317" s="113"/>
      <c r="B317" s="114"/>
      <c r="C317" s="114"/>
      <c r="D317" s="115"/>
      <c r="E317" s="104"/>
      <c r="F317" s="117"/>
      <c r="G317" s="117"/>
      <c r="H317" s="117"/>
      <c r="I317" s="117"/>
      <c r="J317" s="117"/>
      <c r="K317" s="110"/>
      <c r="L317" s="110"/>
      <c r="M317" s="110"/>
      <c r="N317" s="110"/>
      <c r="O317" s="117"/>
      <c r="P317" s="119">
        <f t="array" ref="P317">LEN(D317)-SUM((LEN(D317)-LEN(SUBSTITUTE(D317,修饰列表!$B$2:$B$80,修饰列表!$D$2:$D$80))))</f>
        <v>0</v>
      </c>
      <c r="Q317" s="120">
        <f t="shared" si="5"/>
        <v>0</v>
      </c>
    </row>
    <row r="318" spans="1:17" x14ac:dyDescent="0.25">
      <c r="A318" s="113"/>
      <c r="B318" s="114"/>
      <c r="C318" s="114"/>
      <c r="D318" s="115"/>
      <c r="E318" s="104"/>
      <c r="F318" s="117"/>
      <c r="G318" s="117"/>
      <c r="H318" s="117"/>
      <c r="I318" s="117"/>
      <c r="J318" s="117"/>
      <c r="K318" s="110"/>
      <c r="L318" s="110"/>
      <c r="M318" s="110"/>
      <c r="N318" s="110"/>
      <c r="O318" s="117"/>
      <c r="P318" s="119">
        <f t="array" ref="P318">LEN(D318)-SUM((LEN(D318)-LEN(SUBSTITUTE(D318,修饰列表!$B$2:$B$80,修饰列表!$D$2:$D$80))))</f>
        <v>0</v>
      </c>
      <c r="Q318" s="120">
        <f t="shared" si="5"/>
        <v>0</v>
      </c>
    </row>
    <row r="319" spans="1:17" x14ac:dyDescent="0.25">
      <c r="A319" s="113"/>
      <c r="B319" s="114"/>
      <c r="C319" s="114"/>
      <c r="D319" s="115"/>
      <c r="E319" s="104"/>
      <c r="F319" s="117"/>
      <c r="G319" s="117"/>
      <c r="H319" s="117"/>
      <c r="I319" s="117"/>
      <c r="J319" s="117"/>
      <c r="K319" s="110"/>
      <c r="L319" s="110"/>
      <c r="M319" s="110"/>
      <c r="N319" s="110"/>
      <c r="O319" s="117"/>
      <c r="P319" s="119">
        <f t="array" ref="P319">LEN(D319)-SUM((LEN(D319)-LEN(SUBSTITUTE(D319,修饰列表!$B$2:$B$80,修饰列表!$D$2:$D$80))))</f>
        <v>0</v>
      </c>
      <c r="Q319" s="120">
        <f t="shared" si="5"/>
        <v>0</v>
      </c>
    </row>
    <row r="320" spans="1:17" x14ac:dyDescent="0.25">
      <c r="A320" s="113"/>
      <c r="B320" s="114"/>
      <c r="C320" s="114"/>
      <c r="D320" s="115"/>
      <c r="E320" s="104"/>
      <c r="F320" s="117"/>
      <c r="G320" s="117"/>
      <c r="H320" s="117"/>
      <c r="I320" s="117"/>
      <c r="J320" s="117"/>
      <c r="K320" s="110"/>
      <c r="L320" s="110"/>
      <c r="M320" s="110"/>
      <c r="N320" s="110"/>
      <c r="O320" s="117"/>
      <c r="P320" s="119">
        <f t="array" ref="P320">LEN(D320)-SUM((LEN(D320)-LEN(SUBSTITUTE(D320,修饰列表!$B$2:$B$80,修饰列表!$D$2:$D$80))))</f>
        <v>0</v>
      </c>
      <c r="Q320" s="120">
        <f t="shared" si="5"/>
        <v>0</v>
      </c>
    </row>
    <row r="321" spans="1:17" x14ac:dyDescent="0.25">
      <c r="A321" s="113"/>
      <c r="B321" s="114"/>
      <c r="C321" s="114"/>
      <c r="D321" s="115"/>
      <c r="E321" s="104"/>
      <c r="F321" s="117"/>
      <c r="G321" s="117"/>
      <c r="H321" s="117"/>
      <c r="I321" s="117"/>
      <c r="J321" s="117"/>
      <c r="K321" s="110"/>
      <c r="L321" s="110"/>
      <c r="M321" s="110"/>
      <c r="N321" s="110"/>
      <c r="O321" s="117"/>
      <c r="P321" s="119">
        <f t="array" ref="P321">LEN(D321)-SUM((LEN(D321)-LEN(SUBSTITUTE(D321,修饰列表!$B$2:$B$80,修饰列表!$D$2:$D$80))))</f>
        <v>0</v>
      </c>
      <c r="Q321" s="120">
        <f t="shared" si="5"/>
        <v>0</v>
      </c>
    </row>
    <row r="322" spans="1:17" x14ac:dyDescent="0.25">
      <c r="A322" s="113"/>
      <c r="B322" s="114"/>
      <c r="C322" s="114"/>
      <c r="D322" s="115"/>
      <c r="E322" s="104"/>
      <c r="F322" s="117"/>
      <c r="G322" s="117"/>
      <c r="H322" s="117"/>
      <c r="I322" s="117"/>
      <c r="J322" s="117"/>
      <c r="K322" s="110"/>
      <c r="L322" s="110"/>
      <c r="M322" s="110"/>
      <c r="N322" s="110"/>
      <c r="O322" s="117"/>
      <c r="P322" s="119">
        <f t="array" ref="P322">LEN(D34)-SUM((LEN(D34)-LEN(SUBSTITUTE(D34,修饰列表!$B$2:$B$80,修饰列表!$D$2:$D$80))))</f>
        <v>0</v>
      </c>
      <c r="Q322" s="120">
        <f>IF(I34="",H34*J34,H34*I34)</f>
        <v>0</v>
      </c>
    </row>
    <row r="323" spans="1:17" x14ac:dyDescent="0.25">
      <c r="A323" s="113"/>
      <c r="B323" s="114"/>
      <c r="C323" s="114"/>
      <c r="D323" s="115"/>
      <c r="E323" s="104"/>
      <c r="F323" s="117"/>
      <c r="G323" s="117"/>
      <c r="H323" s="117"/>
      <c r="I323" s="117"/>
      <c r="J323" s="117"/>
      <c r="K323" s="110"/>
      <c r="L323" s="110"/>
      <c r="M323" s="110"/>
      <c r="N323" s="110"/>
      <c r="O323" s="117"/>
      <c r="P323" s="119">
        <f t="array" ref="P323">LEN(D323)-SUM((LEN(D323)-LEN(SUBSTITUTE(D323,修饰列表!$B$2:$B$80,修饰列表!$D$2:$D$80))))</f>
        <v>0</v>
      </c>
      <c r="Q323" s="120">
        <f t="shared" si="5"/>
        <v>0</v>
      </c>
    </row>
    <row r="324" spans="1:17" x14ac:dyDescent="0.25">
      <c r="A324" s="113"/>
      <c r="B324" s="114"/>
      <c r="C324" s="114"/>
      <c r="D324" s="115"/>
      <c r="E324" s="104"/>
      <c r="F324" s="117"/>
      <c r="G324" s="117"/>
      <c r="H324" s="117"/>
      <c r="I324" s="117"/>
      <c r="J324" s="117"/>
      <c r="K324" s="110"/>
      <c r="L324" s="110"/>
      <c r="M324" s="110"/>
      <c r="N324" s="110"/>
      <c r="O324" s="117"/>
      <c r="P324" s="119">
        <f t="array" ref="P324">LEN(D324)-SUM((LEN(D324)-LEN(SUBSTITUTE(D324,修饰列表!$B$2:$B$80,修饰列表!$D$2:$D$80))))</f>
        <v>0</v>
      </c>
      <c r="Q324" s="120">
        <f t="shared" si="5"/>
        <v>0</v>
      </c>
    </row>
    <row r="325" spans="1:17" x14ac:dyDescent="0.25">
      <c r="A325" s="113"/>
      <c r="B325" s="114"/>
      <c r="C325" s="114"/>
      <c r="D325" s="115"/>
      <c r="E325" s="104"/>
      <c r="F325" s="117"/>
      <c r="G325" s="117"/>
      <c r="H325" s="117"/>
      <c r="I325" s="117"/>
      <c r="J325" s="117"/>
      <c r="K325" s="110"/>
      <c r="L325" s="110"/>
      <c r="M325" s="110"/>
      <c r="N325" s="110"/>
      <c r="O325" s="117"/>
      <c r="P325" s="119">
        <f t="array" ref="P325">LEN(D325)-SUM((LEN(D325)-LEN(SUBSTITUTE(D325,修饰列表!$B$2:$B$80,修饰列表!$D$2:$D$80))))</f>
        <v>0</v>
      </c>
      <c r="Q325" s="120">
        <f t="shared" si="5"/>
        <v>0</v>
      </c>
    </row>
    <row r="326" spans="1:17" x14ac:dyDescent="0.25">
      <c r="A326" s="113"/>
      <c r="B326" s="114"/>
      <c r="C326" s="114"/>
      <c r="D326" s="115"/>
      <c r="E326" s="104"/>
      <c r="F326" s="117"/>
      <c r="G326" s="117"/>
      <c r="H326" s="117"/>
      <c r="I326" s="117"/>
      <c r="J326" s="117"/>
      <c r="K326" s="110"/>
      <c r="L326" s="110"/>
      <c r="M326" s="110"/>
      <c r="N326" s="110"/>
      <c r="O326" s="117"/>
      <c r="P326" s="119">
        <f t="array" ref="P326">LEN(D326)-SUM((LEN(D326)-LEN(SUBSTITUTE(D326,修饰列表!$B$2:$B$80,修饰列表!$D$2:$D$80))))</f>
        <v>0</v>
      </c>
      <c r="Q326" s="120">
        <f t="shared" si="5"/>
        <v>0</v>
      </c>
    </row>
    <row r="327" spans="1:17" x14ac:dyDescent="0.25">
      <c r="A327" s="113"/>
      <c r="B327" s="114"/>
      <c r="C327" s="114"/>
      <c r="D327" s="115"/>
      <c r="E327" s="104"/>
      <c r="F327" s="117"/>
      <c r="G327" s="117"/>
      <c r="H327" s="117"/>
      <c r="I327" s="117"/>
      <c r="J327" s="117"/>
      <c r="K327" s="110"/>
      <c r="L327" s="110"/>
      <c r="M327" s="110"/>
      <c r="N327" s="110"/>
      <c r="O327" s="117"/>
      <c r="P327" s="119">
        <f t="array" ref="P327">LEN(D327)-SUM((LEN(D327)-LEN(SUBSTITUTE(D327,修饰列表!$B$2:$B$80,修饰列表!$D$2:$D$80))))</f>
        <v>0</v>
      </c>
      <c r="Q327" s="120">
        <f t="shared" si="5"/>
        <v>0</v>
      </c>
    </row>
    <row r="328" spans="1:17" x14ac:dyDescent="0.25">
      <c r="A328" s="113"/>
      <c r="B328" s="114"/>
      <c r="C328" s="114"/>
      <c r="D328" s="115"/>
      <c r="E328" s="104"/>
      <c r="F328" s="117"/>
      <c r="G328" s="117"/>
      <c r="H328" s="117"/>
      <c r="I328" s="117"/>
      <c r="J328" s="117"/>
      <c r="K328" s="110"/>
      <c r="L328" s="110"/>
      <c r="M328" s="110"/>
      <c r="N328" s="110"/>
      <c r="O328" s="117"/>
      <c r="P328" s="119">
        <f t="array" ref="P328">LEN(D328)-SUM((LEN(D328)-LEN(SUBSTITUTE(D328,修饰列表!$B$2:$B$80,修饰列表!$D$2:$D$80))))</f>
        <v>0</v>
      </c>
      <c r="Q328" s="120">
        <f t="shared" si="5"/>
        <v>0</v>
      </c>
    </row>
    <row r="329" spans="1:17" x14ac:dyDescent="0.25">
      <c r="A329" s="113"/>
      <c r="B329" s="114"/>
      <c r="C329" s="114"/>
      <c r="D329" s="115"/>
      <c r="E329" s="104"/>
      <c r="F329" s="117"/>
      <c r="G329" s="117"/>
      <c r="H329" s="117"/>
      <c r="I329" s="117"/>
      <c r="J329" s="117"/>
      <c r="K329" s="110"/>
      <c r="L329" s="110"/>
      <c r="M329" s="110"/>
      <c r="N329" s="110"/>
      <c r="O329" s="117"/>
      <c r="P329" s="119">
        <f t="array" ref="P329">LEN(D329)-SUM((LEN(D329)-LEN(SUBSTITUTE(D329,修饰列表!$B$2:$B$80,修饰列表!$D$2:$D$80))))</f>
        <v>0</v>
      </c>
      <c r="Q329" s="120">
        <f t="shared" si="5"/>
        <v>0</v>
      </c>
    </row>
    <row r="330" spans="1:17" x14ac:dyDescent="0.25">
      <c r="A330" s="113"/>
      <c r="B330" s="114"/>
      <c r="C330" s="114"/>
      <c r="D330" s="115"/>
      <c r="E330" s="104"/>
      <c r="F330" s="117"/>
      <c r="G330" s="117"/>
      <c r="H330" s="117"/>
      <c r="I330" s="117"/>
      <c r="J330" s="117"/>
      <c r="K330" s="110"/>
      <c r="L330" s="110"/>
      <c r="M330" s="110"/>
      <c r="N330" s="110"/>
      <c r="O330" s="117"/>
      <c r="P330" s="119">
        <f t="array" ref="P330">LEN(D330)-SUM((LEN(D330)-LEN(SUBSTITUTE(D330,修饰列表!$B$2:$B$80,修饰列表!$D$2:$D$80))))</f>
        <v>0</v>
      </c>
      <c r="Q330" s="120">
        <f t="shared" si="5"/>
        <v>0</v>
      </c>
    </row>
    <row r="331" spans="1:17" x14ac:dyDescent="0.25">
      <c r="A331" s="113"/>
      <c r="B331" s="114"/>
      <c r="C331" s="114"/>
      <c r="D331" s="115"/>
      <c r="E331" s="104"/>
      <c r="F331" s="117"/>
      <c r="G331" s="117"/>
      <c r="H331" s="117"/>
      <c r="I331" s="117"/>
      <c r="J331" s="117"/>
      <c r="K331" s="110"/>
      <c r="L331" s="110"/>
      <c r="M331" s="110"/>
      <c r="N331" s="110"/>
      <c r="O331" s="117"/>
      <c r="P331" s="119">
        <f t="array" ref="P331">LEN(D331)-SUM((LEN(D331)-LEN(SUBSTITUTE(D331,修饰列表!$B$2:$B$80,修饰列表!$D$2:$D$80))))</f>
        <v>0</v>
      </c>
      <c r="Q331" s="120">
        <f t="shared" si="5"/>
        <v>0</v>
      </c>
    </row>
    <row r="332" spans="1:17" x14ac:dyDescent="0.25">
      <c r="A332" s="113"/>
      <c r="B332" s="114"/>
      <c r="C332" s="114"/>
      <c r="D332" s="115"/>
      <c r="E332" s="104"/>
      <c r="F332" s="117"/>
      <c r="G332" s="117"/>
      <c r="H332" s="117"/>
      <c r="I332" s="117"/>
      <c r="J332" s="117"/>
      <c r="K332" s="110"/>
      <c r="L332" s="110"/>
      <c r="M332" s="110"/>
      <c r="N332" s="110"/>
      <c r="O332" s="117"/>
      <c r="P332" s="119">
        <f t="array" ref="P332">LEN(D332)-SUM((LEN(D332)-LEN(SUBSTITUTE(D332,修饰列表!$B$2:$B$80,修饰列表!$D$2:$D$80))))</f>
        <v>0</v>
      </c>
      <c r="Q332" s="120">
        <f t="shared" si="5"/>
        <v>0</v>
      </c>
    </row>
    <row r="333" spans="1:17" x14ac:dyDescent="0.25">
      <c r="A333" s="113"/>
      <c r="B333" s="114"/>
      <c r="C333" s="114"/>
      <c r="D333" s="115"/>
      <c r="E333" s="104"/>
      <c r="F333" s="117"/>
      <c r="G333" s="117"/>
      <c r="H333" s="117"/>
      <c r="I333" s="117"/>
      <c r="J333" s="117"/>
      <c r="K333" s="110"/>
      <c r="L333" s="110"/>
      <c r="M333" s="110"/>
      <c r="N333" s="110"/>
      <c r="O333" s="117"/>
      <c r="P333" s="119">
        <f t="array" ref="P333">LEN(D333)-SUM((LEN(D333)-LEN(SUBSTITUTE(D333,修饰列表!$B$2:$B$80,修饰列表!$D$2:$D$80))))</f>
        <v>0</v>
      </c>
      <c r="Q333" s="120">
        <f t="shared" si="5"/>
        <v>0</v>
      </c>
    </row>
    <row r="334" spans="1:17" x14ac:dyDescent="0.25">
      <c r="A334" s="113"/>
      <c r="B334" s="114"/>
      <c r="C334" s="114"/>
      <c r="D334" s="115"/>
      <c r="E334" s="104"/>
      <c r="F334" s="117"/>
      <c r="G334" s="117"/>
      <c r="H334" s="117"/>
      <c r="I334" s="117"/>
      <c r="J334" s="117"/>
      <c r="K334" s="110"/>
      <c r="L334" s="110"/>
      <c r="M334" s="110"/>
      <c r="N334" s="110"/>
      <c r="O334" s="117"/>
      <c r="P334" s="119">
        <f t="array" ref="P334">LEN(D334)-SUM((LEN(D334)-LEN(SUBSTITUTE(D334,修饰列表!$B$2:$B$80,修饰列表!$D$2:$D$80))))</f>
        <v>0</v>
      </c>
      <c r="Q334" s="120">
        <f t="shared" si="5"/>
        <v>0</v>
      </c>
    </row>
    <row r="335" spans="1:17" x14ac:dyDescent="0.25">
      <c r="A335" s="113"/>
      <c r="B335" s="114"/>
      <c r="C335" s="114"/>
      <c r="D335" s="115"/>
      <c r="E335" s="104"/>
      <c r="F335" s="117"/>
      <c r="G335" s="117"/>
      <c r="H335" s="117"/>
      <c r="I335" s="117"/>
      <c r="J335" s="117"/>
      <c r="K335" s="110"/>
      <c r="L335" s="110"/>
      <c r="M335" s="110"/>
      <c r="N335" s="110"/>
      <c r="O335" s="117"/>
      <c r="P335" s="119">
        <f t="array" ref="P335">LEN(D335)-SUM((LEN(D335)-LEN(SUBSTITUTE(D335,修饰列表!$B$2:$B$80,修饰列表!$D$2:$D$80))))</f>
        <v>0</v>
      </c>
      <c r="Q335" s="120">
        <f t="shared" si="5"/>
        <v>0</v>
      </c>
    </row>
    <row r="336" spans="1:17" x14ac:dyDescent="0.25">
      <c r="A336" s="113"/>
      <c r="B336" s="114"/>
      <c r="C336" s="114"/>
      <c r="D336" s="115"/>
      <c r="E336" s="104"/>
      <c r="F336" s="117"/>
      <c r="G336" s="117"/>
      <c r="H336" s="117"/>
      <c r="I336" s="117"/>
      <c r="J336" s="117"/>
      <c r="K336" s="110"/>
      <c r="L336" s="110"/>
      <c r="M336" s="110"/>
      <c r="N336" s="110"/>
      <c r="O336" s="117"/>
      <c r="P336" s="119">
        <f t="array" ref="P336">LEN(D336)-SUM((LEN(D336)-LEN(SUBSTITUTE(D336,修饰列表!$B$2:$B$80,修饰列表!$D$2:$D$80))))</f>
        <v>0</v>
      </c>
      <c r="Q336" s="120">
        <f t="shared" si="5"/>
        <v>0</v>
      </c>
    </row>
    <row r="337" spans="1:17" x14ac:dyDescent="0.25">
      <c r="A337" s="113"/>
      <c r="B337" s="114"/>
      <c r="C337" s="114"/>
      <c r="D337" s="115"/>
      <c r="E337" s="104"/>
      <c r="F337" s="117"/>
      <c r="G337" s="117"/>
      <c r="H337" s="117"/>
      <c r="I337" s="117"/>
      <c r="J337" s="117"/>
      <c r="K337" s="110"/>
      <c r="L337" s="110"/>
      <c r="M337" s="110"/>
      <c r="N337" s="110"/>
      <c r="O337" s="117"/>
      <c r="P337" s="119">
        <f t="array" ref="P337">LEN(D337)-SUM((LEN(D337)-LEN(SUBSTITUTE(D337,修饰列表!$B$2:$B$80,修饰列表!$D$2:$D$80))))</f>
        <v>0</v>
      </c>
      <c r="Q337" s="120">
        <f t="shared" si="5"/>
        <v>0</v>
      </c>
    </row>
    <row r="338" spans="1:17" x14ac:dyDescent="0.25">
      <c r="A338" s="113"/>
      <c r="B338" s="114"/>
      <c r="C338" s="114"/>
      <c r="D338" s="115"/>
      <c r="E338" s="104"/>
      <c r="F338" s="117"/>
      <c r="G338" s="117"/>
      <c r="H338" s="117"/>
      <c r="I338" s="117"/>
      <c r="J338" s="117"/>
      <c r="K338" s="110"/>
      <c r="L338" s="110"/>
      <c r="M338" s="110"/>
      <c r="N338" s="110"/>
      <c r="O338" s="117"/>
      <c r="P338" s="119">
        <f t="array" ref="P338">LEN(D338)-SUM((LEN(D338)-LEN(SUBSTITUTE(D338,修饰列表!$B$2:$B$80,修饰列表!$D$2:$D$80))))</f>
        <v>0</v>
      </c>
      <c r="Q338" s="120">
        <f t="shared" si="5"/>
        <v>0</v>
      </c>
    </row>
    <row r="339" spans="1:17" x14ac:dyDescent="0.25">
      <c r="A339" s="113"/>
      <c r="B339" s="114"/>
      <c r="C339" s="114"/>
      <c r="D339" s="115"/>
      <c r="E339" s="104"/>
      <c r="F339" s="117"/>
      <c r="G339" s="117"/>
      <c r="H339" s="117"/>
      <c r="I339" s="117"/>
      <c r="J339" s="117"/>
      <c r="K339" s="110"/>
      <c r="L339" s="110"/>
      <c r="M339" s="110"/>
      <c r="N339" s="110"/>
      <c r="O339" s="117"/>
      <c r="P339" s="119">
        <f t="array" ref="P339">LEN(D339)-SUM((LEN(D339)-LEN(SUBSTITUTE(D339,修饰列表!$B$2:$B$80,修饰列表!$D$2:$D$80))))</f>
        <v>0</v>
      </c>
      <c r="Q339" s="120">
        <f t="shared" si="5"/>
        <v>0</v>
      </c>
    </row>
    <row r="340" spans="1:17" x14ac:dyDescent="0.25">
      <c r="A340" s="113"/>
      <c r="B340" s="114"/>
      <c r="C340" s="114"/>
      <c r="D340" s="115"/>
      <c r="E340" s="104"/>
      <c r="F340" s="117"/>
      <c r="G340" s="117"/>
      <c r="H340" s="117"/>
      <c r="I340" s="117"/>
      <c r="J340" s="117"/>
      <c r="K340" s="110"/>
      <c r="L340" s="110"/>
      <c r="M340" s="110"/>
      <c r="N340" s="110"/>
      <c r="O340" s="117"/>
      <c r="P340" s="119">
        <f t="array" ref="P340">LEN(D340)-SUM((LEN(D340)-LEN(SUBSTITUTE(D340,修饰列表!$B$2:$B$80,修饰列表!$D$2:$D$80))))</f>
        <v>0</v>
      </c>
      <c r="Q340" s="120">
        <f t="shared" si="5"/>
        <v>0</v>
      </c>
    </row>
    <row r="341" spans="1:17" x14ac:dyDescent="0.25">
      <c r="A341" s="113"/>
      <c r="B341" s="114"/>
      <c r="C341" s="114"/>
      <c r="D341" s="115"/>
      <c r="E341" s="104"/>
      <c r="F341" s="117"/>
      <c r="G341" s="117"/>
      <c r="H341" s="117"/>
      <c r="I341" s="117"/>
      <c r="J341" s="117"/>
      <c r="K341" s="110"/>
      <c r="L341" s="110"/>
      <c r="M341" s="110"/>
      <c r="N341" s="110"/>
      <c r="O341" s="117"/>
      <c r="P341" s="119">
        <f t="array" ref="P341">LEN(D341)-SUM((LEN(D341)-LEN(SUBSTITUTE(D341,修饰列表!$B$2:$B$80,修饰列表!$D$2:$D$80))))</f>
        <v>0</v>
      </c>
      <c r="Q341" s="120">
        <f t="shared" ref="Q341:Q400" si="6">IF(I341="",H341*J341,H341*I341)</f>
        <v>0</v>
      </c>
    </row>
    <row r="342" spans="1:17" x14ac:dyDescent="0.25">
      <c r="A342" s="113"/>
      <c r="B342" s="114"/>
      <c r="C342" s="114"/>
      <c r="D342" s="115"/>
      <c r="E342" s="104"/>
      <c r="F342" s="117"/>
      <c r="G342" s="117"/>
      <c r="H342" s="117"/>
      <c r="I342" s="117"/>
      <c r="J342" s="117"/>
      <c r="K342" s="110"/>
      <c r="L342" s="110"/>
      <c r="M342" s="110"/>
      <c r="N342" s="110"/>
      <c r="O342" s="117"/>
      <c r="P342" s="119">
        <f t="array" ref="P342">LEN(D342)-SUM((LEN(D342)-LEN(SUBSTITUTE(D342,修饰列表!$B$2:$B$80,修饰列表!$D$2:$D$80))))</f>
        <v>0</v>
      </c>
      <c r="Q342" s="120">
        <f t="shared" si="6"/>
        <v>0</v>
      </c>
    </row>
    <row r="343" spans="1:17" x14ac:dyDescent="0.25">
      <c r="A343" s="113"/>
      <c r="B343" s="114"/>
      <c r="C343" s="114"/>
      <c r="D343" s="115"/>
      <c r="E343" s="104"/>
      <c r="F343" s="117"/>
      <c r="G343" s="117"/>
      <c r="H343" s="117"/>
      <c r="I343" s="117"/>
      <c r="J343" s="117"/>
      <c r="K343" s="110"/>
      <c r="L343" s="110"/>
      <c r="M343" s="110"/>
      <c r="N343" s="110"/>
      <c r="O343" s="117"/>
      <c r="P343" s="119">
        <f t="array" ref="P343">LEN(D343)-SUM((LEN(D343)-LEN(SUBSTITUTE(D343,修饰列表!$B$2:$B$80,修饰列表!$D$2:$D$80))))</f>
        <v>0</v>
      </c>
      <c r="Q343" s="120">
        <f t="shared" si="6"/>
        <v>0</v>
      </c>
    </row>
    <row r="344" spans="1:17" x14ac:dyDescent="0.25">
      <c r="A344" s="113"/>
      <c r="B344" s="114"/>
      <c r="C344" s="114"/>
      <c r="D344" s="115"/>
      <c r="E344" s="104"/>
      <c r="F344" s="117"/>
      <c r="G344" s="117"/>
      <c r="H344" s="117"/>
      <c r="I344" s="117"/>
      <c r="J344" s="117"/>
      <c r="K344" s="110"/>
      <c r="L344" s="110"/>
      <c r="M344" s="110"/>
      <c r="N344" s="110"/>
      <c r="O344" s="117"/>
      <c r="P344" s="119">
        <f t="array" ref="P344">LEN(D344)-SUM((LEN(D344)-LEN(SUBSTITUTE(D344,修饰列表!$B$2:$B$80,修饰列表!$D$2:$D$80))))</f>
        <v>0</v>
      </c>
      <c r="Q344" s="120">
        <f t="shared" si="6"/>
        <v>0</v>
      </c>
    </row>
    <row r="345" spans="1:17" x14ac:dyDescent="0.25">
      <c r="A345" s="113"/>
      <c r="B345" s="114"/>
      <c r="C345" s="114"/>
      <c r="D345" s="115"/>
      <c r="E345" s="104"/>
      <c r="F345" s="117"/>
      <c r="G345" s="117"/>
      <c r="H345" s="117"/>
      <c r="I345" s="117"/>
      <c r="J345" s="117"/>
      <c r="K345" s="110"/>
      <c r="L345" s="110"/>
      <c r="M345" s="110"/>
      <c r="N345" s="110"/>
      <c r="O345" s="117"/>
      <c r="P345" s="119">
        <f t="array" ref="P345">LEN(D345)-SUM((LEN(D345)-LEN(SUBSTITUTE(D345,修饰列表!$B$2:$B$80,修饰列表!$D$2:$D$80))))</f>
        <v>0</v>
      </c>
      <c r="Q345" s="120">
        <f t="shared" si="6"/>
        <v>0</v>
      </c>
    </row>
    <row r="346" spans="1:17" x14ac:dyDescent="0.25">
      <c r="A346" s="113"/>
      <c r="B346" s="114"/>
      <c r="C346" s="114"/>
      <c r="D346" s="115"/>
      <c r="E346" s="104"/>
      <c r="F346" s="117"/>
      <c r="G346" s="117"/>
      <c r="H346" s="117"/>
      <c r="I346" s="117"/>
      <c r="J346" s="117"/>
      <c r="K346" s="110"/>
      <c r="L346" s="110"/>
      <c r="M346" s="110"/>
      <c r="N346" s="110"/>
      <c r="O346" s="117"/>
      <c r="P346" s="119">
        <f t="array" ref="P346">LEN(D346)-SUM((LEN(D346)-LEN(SUBSTITUTE(D346,修饰列表!$B$2:$B$80,修饰列表!$D$2:$D$80))))</f>
        <v>0</v>
      </c>
      <c r="Q346" s="120">
        <f t="shared" si="6"/>
        <v>0</v>
      </c>
    </row>
    <row r="347" spans="1:17" x14ac:dyDescent="0.25">
      <c r="A347" s="113"/>
      <c r="B347" s="114"/>
      <c r="C347" s="114"/>
      <c r="D347" s="115"/>
      <c r="E347" s="104"/>
      <c r="F347" s="117"/>
      <c r="G347" s="117"/>
      <c r="H347" s="117"/>
      <c r="I347" s="117"/>
      <c r="J347" s="117"/>
      <c r="K347" s="110"/>
      <c r="L347" s="110"/>
      <c r="M347" s="110"/>
      <c r="N347" s="110"/>
      <c r="O347" s="117"/>
      <c r="P347" s="119">
        <f t="array" ref="P347">LEN(D347)-SUM((LEN(D347)-LEN(SUBSTITUTE(D347,修饰列表!$B$2:$B$80,修饰列表!$D$2:$D$80))))</f>
        <v>0</v>
      </c>
      <c r="Q347" s="120">
        <f t="shared" si="6"/>
        <v>0</v>
      </c>
    </row>
    <row r="348" spans="1:17" x14ac:dyDescent="0.25">
      <c r="A348" s="113"/>
      <c r="B348" s="114"/>
      <c r="C348" s="114"/>
      <c r="D348" s="115"/>
      <c r="E348" s="104"/>
      <c r="F348" s="117"/>
      <c r="G348" s="117"/>
      <c r="H348" s="117"/>
      <c r="I348" s="117"/>
      <c r="J348" s="117"/>
      <c r="K348" s="110"/>
      <c r="L348" s="110"/>
      <c r="M348" s="110"/>
      <c r="N348" s="110"/>
      <c r="O348" s="117"/>
      <c r="P348" s="119">
        <f t="array" ref="P348">LEN(D348)-SUM((LEN(D348)-LEN(SUBSTITUTE(D348,修饰列表!$B$2:$B$80,修饰列表!$D$2:$D$80))))</f>
        <v>0</v>
      </c>
      <c r="Q348" s="120">
        <f t="shared" si="6"/>
        <v>0</v>
      </c>
    </row>
    <row r="349" spans="1:17" x14ac:dyDescent="0.25">
      <c r="A349" s="113"/>
      <c r="B349" s="114"/>
      <c r="C349" s="114"/>
      <c r="D349" s="115"/>
      <c r="E349" s="104"/>
      <c r="F349" s="117"/>
      <c r="G349" s="117"/>
      <c r="H349" s="117"/>
      <c r="I349" s="117"/>
      <c r="J349" s="117"/>
      <c r="K349" s="110"/>
      <c r="L349" s="110"/>
      <c r="M349" s="110"/>
      <c r="N349" s="110"/>
      <c r="O349" s="117"/>
      <c r="P349" s="119">
        <f t="array" ref="P349">LEN(D349)-SUM((LEN(D349)-LEN(SUBSTITUTE(D349,修饰列表!$B$2:$B$80,修饰列表!$D$2:$D$80))))</f>
        <v>0</v>
      </c>
      <c r="Q349" s="120">
        <f t="shared" si="6"/>
        <v>0</v>
      </c>
    </row>
    <row r="350" spans="1:17" x14ac:dyDescent="0.25">
      <c r="A350" s="113"/>
      <c r="B350" s="114"/>
      <c r="C350" s="114"/>
      <c r="D350" s="115"/>
      <c r="E350" s="104"/>
      <c r="F350" s="117"/>
      <c r="G350" s="117"/>
      <c r="H350" s="117"/>
      <c r="I350" s="117"/>
      <c r="J350" s="117"/>
      <c r="K350" s="110"/>
      <c r="L350" s="110"/>
      <c r="M350" s="110"/>
      <c r="N350" s="110"/>
      <c r="O350" s="117"/>
      <c r="P350" s="119">
        <f t="array" ref="P350">LEN(D350)-SUM((LEN(D350)-LEN(SUBSTITUTE(D350,修饰列表!$B$2:$B$80,修饰列表!$D$2:$D$80))))</f>
        <v>0</v>
      </c>
      <c r="Q350" s="120">
        <f t="shared" si="6"/>
        <v>0</v>
      </c>
    </row>
    <row r="351" spans="1:17" x14ac:dyDescent="0.25">
      <c r="A351" s="113"/>
      <c r="B351" s="114"/>
      <c r="C351" s="114"/>
      <c r="D351" s="115"/>
      <c r="E351" s="104"/>
      <c r="F351" s="117"/>
      <c r="G351" s="117"/>
      <c r="H351" s="117"/>
      <c r="I351" s="117"/>
      <c r="J351" s="117"/>
      <c r="K351" s="110"/>
      <c r="L351" s="110"/>
      <c r="M351" s="110"/>
      <c r="N351" s="110"/>
      <c r="O351" s="117"/>
      <c r="P351" s="119">
        <f t="array" ref="P351">LEN(D351)-SUM((LEN(D351)-LEN(SUBSTITUTE(D351,修饰列表!$B$2:$B$80,修饰列表!$D$2:$D$80))))</f>
        <v>0</v>
      </c>
      <c r="Q351" s="120">
        <f t="shared" si="6"/>
        <v>0</v>
      </c>
    </row>
    <row r="352" spans="1:17" x14ac:dyDescent="0.25">
      <c r="A352" s="113"/>
      <c r="B352" s="114"/>
      <c r="C352" s="114"/>
      <c r="D352" s="115"/>
      <c r="E352" s="104"/>
      <c r="F352" s="117"/>
      <c r="G352" s="117"/>
      <c r="H352" s="117"/>
      <c r="I352" s="117"/>
      <c r="J352" s="117"/>
      <c r="K352" s="110"/>
      <c r="L352" s="110"/>
      <c r="M352" s="110"/>
      <c r="N352" s="110"/>
      <c r="O352" s="117"/>
      <c r="P352" s="119">
        <f t="array" ref="P352">LEN(D352)-SUM((LEN(D352)-LEN(SUBSTITUTE(D352,修饰列表!$B$2:$B$80,修饰列表!$D$2:$D$80))))</f>
        <v>0</v>
      </c>
      <c r="Q352" s="120">
        <f t="shared" si="6"/>
        <v>0</v>
      </c>
    </row>
    <row r="353" spans="1:17" x14ac:dyDescent="0.25">
      <c r="A353" s="113"/>
      <c r="B353" s="114"/>
      <c r="C353" s="114"/>
      <c r="D353" s="115"/>
      <c r="E353" s="104"/>
      <c r="F353" s="117"/>
      <c r="G353" s="117"/>
      <c r="H353" s="117"/>
      <c r="I353" s="117"/>
      <c r="J353" s="117"/>
      <c r="K353" s="110"/>
      <c r="L353" s="110"/>
      <c r="M353" s="110"/>
      <c r="N353" s="110"/>
      <c r="O353" s="117"/>
      <c r="P353" s="119">
        <f t="array" ref="P353">LEN(D353)-SUM((LEN(D353)-LEN(SUBSTITUTE(D353,修饰列表!$B$2:$B$80,修饰列表!$D$2:$D$80))))</f>
        <v>0</v>
      </c>
      <c r="Q353" s="120">
        <f t="shared" si="6"/>
        <v>0</v>
      </c>
    </row>
    <row r="354" spans="1:17" x14ac:dyDescent="0.25">
      <c r="A354" s="113"/>
      <c r="B354" s="114"/>
      <c r="C354" s="114"/>
      <c r="D354" s="115"/>
      <c r="E354" s="104"/>
      <c r="F354" s="117"/>
      <c r="G354" s="117"/>
      <c r="H354" s="117"/>
      <c r="I354" s="117"/>
      <c r="J354" s="117"/>
      <c r="K354" s="110"/>
      <c r="L354" s="110"/>
      <c r="M354" s="110"/>
      <c r="N354" s="110"/>
      <c r="O354" s="117"/>
      <c r="P354" s="119">
        <f t="array" ref="P354">LEN(D354)-SUM((LEN(D354)-LEN(SUBSTITUTE(D354,修饰列表!$B$2:$B$80,修饰列表!$D$2:$D$80))))</f>
        <v>0</v>
      </c>
      <c r="Q354" s="120">
        <f t="shared" si="6"/>
        <v>0</v>
      </c>
    </row>
    <row r="355" spans="1:17" x14ac:dyDescent="0.25">
      <c r="A355" s="113"/>
      <c r="B355" s="114"/>
      <c r="C355" s="114"/>
      <c r="D355" s="115"/>
      <c r="E355" s="104"/>
      <c r="F355" s="117"/>
      <c r="G355" s="117"/>
      <c r="H355" s="117"/>
      <c r="I355" s="117"/>
      <c r="J355" s="117"/>
      <c r="K355" s="110"/>
      <c r="L355" s="110"/>
      <c r="M355" s="110"/>
      <c r="N355" s="110"/>
      <c r="O355" s="117"/>
      <c r="P355" s="119">
        <f t="array" ref="P355">LEN(D355)-SUM((LEN(D355)-LEN(SUBSTITUTE(D355,修饰列表!$B$2:$B$80,修饰列表!$D$2:$D$80))))</f>
        <v>0</v>
      </c>
      <c r="Q355" s="120">
        <f t="shared" si="6"/>
        <v>0</v>
      </c>
    </row>
    <row r="356" spans="1:17" x14ac:dyDescent="0.25">
      <c r="A356" s="113"/>
      <c r="B356" s="114"/>
      <c r="C356" s="114"/>
      <c r="D356" s="115"/>
      <c r="E356" s="104"/>
      <c r="F356" s="117"/>
      <c r="G356" s="117"/>
      <c r="H356" s="117"/>
      <c r="I356" s="117"/>
      <c r="J356" s="117"/>
      <c r="K356" s="110"/>
      <c r="L356" s="110"/>
      <c r="M356" s="110"/>
      <c r="N356" s="110"/>
      <c r="O356" s="117"/>
      <c r="P356" s="119">
        <f t="array" ref="P356">LEN(D356)-SUM((LEN(D356)-LEN(SUBSTITUTE(D356,修饰列表!$B$2:$B$80,修饰列表!$D$2:$D$80))))</f>
        <v>0</v>
      </c>
      <c r="Q356" s="120">
        <f t="shared" si="6"/>
        <v>0</v>
      </c>
    </row>
    <row r="357" spans="1:17" x14ac:dyDescent="0.25">
      <c r="A357" s="113"/>
      <c r="B357" s="114"/>
      <c r="C357" s="114"/>
      <c r="D357" s="115"/>
      <c r="E357" s="104"/>
      <c r="F357" s="117"/>
      <c r="G357" s="117"/>
      <c r="H357" s="117"/>
      <c r="I357" s="117"/>
      <c r="J357" s="117"/>
      <c r="K357" s="110"/>
      <c r="L357" s="110"/>
      <c r="M357" s="110"/>
      <c r="N357" s="110"/>
      <c r="O357" s="117"/>
      <c r="P357" s="119">
        <f t="array" ref="P357">LEN(D357)-SUM((LEN(D357)-LEN(SUBSTITUTE(D357,修饰列表!$B$2:$B$80,修饰列表!$D$2:$D$80))))</f>
        <v>0</v>
      </c>
      <c r="Q357" s="120">
        <f t="shared" si="6"/>
        <v>0</v>
      </c>
    </row>
    <row r="358" spans="1:17" x14ac:dyDescent="0.25">
      <c r="A358" s="113"/>
      <c r="B358" s="114"/>
      <c r="C358" s="114"/>
      <c r="D358" s="115"/>
      <c r="E358" s="104"/>
      <c r="F358" s="117"/>
      <c r="G358" s="117"/>
      <c r="H358" s="117"/>
      <c r="I358" s="117"/>
      <c r="J358" s="117"/>
      <c r="K358" s="110"/>
      <c r="L358" s="110"/>
      <c r="M358" s="110"/>
      <c r="N358" s="110"/>
      <c r="O358" s="117"/>
      <c r="P358" s="119">
        <f t="array" ref="P358">LEN(D358)-SUM((LEN(D358)-LEN(SUBSTITUTE(D358,修饰列表!$B$2:$B$80,修饰列表!$D$2:$D$80))))</f>
        <v>0</v>
      </c>
      <c r="Q358" s="120">
        <f t="shared" si="6"/>
        <v>0</v>
      </c>
    </row>
    <row r="359" spans="1:17" x14ac:dyDescent="0.25">
      <c r="A359" s="113"/>
      <c r="B359" s="114"/>
      <c r="C359" s="114"/>
      <c r="D359" s="115"/>
      <c r="E359" s="104"/>
      <c r="F359" s="117"/>
      <c r="G359" s="117"/>
      <c r="H359" s="117"/>
      <c r="I359" s="117"/>
      <c r="J359" s="117"/>
      <c r="K359" s="110"/>
      <c r="L359" s="110"/>
      <c r="M359" s="110"/>
      <c r="N359" s="110"/>
      <c r="O359" s="117"/>
      <c r="P359" s="119">
        <f t="array" ref="P359">LEN(D359)-SUM((LEN(D359)-LEN(SUBSTITUTE(D359,修饰列表!$B$2:$B$80,修饰列表!$D$2:$D$80))))</f>
        <v>0</v>
      </c>
      <c r="Q359" s="120">
        <f t="shared" si="6"/>
        <v>0</v>
      </c>
    </row>
    <row r="360" spans="1:17" x14ac:dyDescent="0.25">
      <c r="A360" s="113"/>
      <c r="B360" s="114"/>
      <c r="C360" s="114"/>
      <c r="D360" s="115"/>
      <c r="E360" s="104"/>
      <c r="F360" s="117"/>
      <c r="G360" s="117"/>
      <c r="H360" s="117"/>
      <c r="I360" s="117"/>
      <c r="J360" s="117"/>
      <c r="K360" s="110"/>
      <c r="L360" s="110"/>
      <c r="M360" s="110"/>
      <c r="N360" s="110"/>
      <c r="O360" s="117"/>
      <c r="P360" s="119">
        <f t="array" ref="P360">LEN(D360)-SUM((LEN(D360)-LEN(SUBSTITUTE(D360,修饰列表!$B$2:$B$80,修饰列表!$D$2:$D$80))))</f>
        <v>0</v>
      </c>
      <c r="Q360" s="120">
        <f t="shared" si="6"/>
        <v>0</v>
      </c>
    </row>
    <row r="361" spans="1:17" x14ac:dyDescent="0.25">
      <c r="A361" s="113"/>
      <c r="B361" s="114"/>
      <c r="C361" s="114"/>
      <c r="D361" s="115"/>
      <c r="E361" s="104"/>
      <c r="F361" s="117"/>
      <c r="G361" s="117"/>
      <c r="H361" s="117"/>
      <c r="I361" s="117"/>
      <c r="J361" s="117"/>
      <c r="K361" s="110"/>
      <c r="L361" s="110"/>
      <c r="M361" s="110"/>
      <c r="N361" s="110"/>
      <c r="O361" s="117"/>
      <c r="P361" s="119">
        <f t="array" ref="P361">LEN(D361)-SUM((LEN(D361)-LEN(SUBSTITUTE(D361,修饰列表!$B$2:$B$80,修饰列表!$D$2:$D$80))))</f>
        <v>0</v>
      </c>
      <c r="Q361" s="120">
        <f t="shared" si="6"/>
        <v>0</v>
      </c>
    </row>
    <row r="362" spans="1:17" x14ac:dyDescent="0.25">
      <c r="A362" s="113"/>
      <c r="B362" s="114"/>
      <c r="C362" s="114"/>
      <c r="D362" s="115"/>
      <c r="E362" s="104"/>
      <c r="F362" s="117"/>
      <c r="G362" s="117"/>
      <c r="H362" s="117"/>
      <c r="I362" s="117"/>
      <c r="J362" s="117"/>
      <c r="K362" s="110"/>
      <c r="L362" s="110"/>
      <c r="M362" s="110"/>
      <c r="N362" s="110"/>
      <c r="O362" s="117"/>
      <c r="P362" s="119">
        <f t="array" ref="P362">LEN(D362)-SUM((LEN(D362)-LEN(SUBSTITUTE(D362,修饰列表!$B$2:$B$80,修饰列表!$D$2:$D$80))))</f>
        <v>0</v>
      </c>
      <c r="Q362" s="120">
        <f t="shared" si="6"/>
        <v>0</v>
      </c>
    </row>
    <row r="363" spans="1:17" x14ac:dyDescent="0.25">
      <c r="A363" s="113"/>
      <c r="B363" s="114"/>
      <c r="C363" s="114"/>
      <c r="D363" s="115"/>
      <c r="E363" s="104"/>
      <c r="F363" s="117"/>
      <c r="G363" s="117"/>
      <c r="H363" s="117"/>
      <c r="I363" s="117"/>
      <c r="J363" s="117"/>
      <c r="K363" s="110"/>
      <c r="L363" s="110"/>
      <c r="M363" s="110"/>
      <c r="N363" s="110"/>
      <c r="O363" s="117"/>
      <c r="P363" s="119">
        <f t="array" ref="P363">LEN(D363)-SUM((LEN(D363)-LEN(SUBSTITUTE(D363,修饰列表!$B$2:$B$80,修饰列表!$D$2:$D$80))))</f>
        <v>0</v>
      </c>
      <c r="Q363" s="120">
        <f t="shared" si="6"/>
        <v>0</v>
      </c>
    </row>
    <row r="364" spans="1:17" x14ac:dyDescent="0.25">
      <c r="A364" s="113"/>
      <c r="B364" s="114"/>
      <c r="C364" s="114"/>
      <c r="D364" s="115"/>
      <c r="E364" s="104"/>
      <c r="F364" s="117"/>
      <c r="G364" s="117"/>
      <c r="H364" s="117"/>
      <c r="I364" s="117"/>
      <c r="J364" s="117"/>
      <c r="K364" s="110"/>
      <c r="L364" s="110"/>
      <c r="M364" s="110"/>
      <c r="N364" s="110"/>
      <c r="O364" s="117"/>
      <c r="P364" s="119">
        <f t="array" ref="P364">LEN(D364)-SUM((LEN(D364)-LEN(SUBSTITUTE(D364,修饰列表!$B$2:$B$80,修饰列表!$D$2:$D$80))))</f>
        <v>0</v>
      </c>
      <c r="Q364" s="120">
        <f t="shared" si="6"/>
        <v>0</v>
      </c>
    </row>
    <row r="365" spans="1:17" x14ac:dyDescent="0.25">
      <c r="A365" s="113"/>
      <c r="B365" s="114"/>
      <c r="C365" s="114"/>
      <c r="D365" s="115"/>
      <c r="E365" s="104"/>
      <c r="F365" s="117"/>
      <c r="G365" s="117"/>
      <c r="H365" s="117"/>
      <c r="I365" s="117"/>
      <c r="J365" s="117"/>
      <c r="K365" s="110"/>
      <c r="L365" s="110"/>
      <c r="M365" s="110"/>
      <c r="N365" s="110"/>
      <c r="O365" s="117"/>
      <c r="P365" s="119">
        <f t="array" ref="P365">LEN(D365)-SUM((LEN(D365)-LEN(SUBSTITUTE(D365,修饰列表!$B$2:$B$80,修饰列表!$D$2:$D$80))))</f>
        <v>0</v>
      </c>
      <c r="Q365" s="120">
        <f t="shared" si="6"/>
        <v>0</v>
      </c>
    </row>
    <row r="366" spans="1:17" x14ac:dyDescent="0.25">
      <c r="A366" s="113"/>
      <c r="B366" s="114"/>
      <c r="C366" s="114"/>
      <c r="D366" s="115"/>
      <c r="E366" s="104"/>
      <c r="F366" s="117"/>
      <c r="G366" s="117"/>
      <c r="H366" s="117"/>
      <c r="I366" s="117"/>
      <c r="J366" s="117"/>
      <c r="K366" s="110"/>
      <c r="L366" s="110"/>
      <c r="M366" s="110"/>
      <c r="N366" s="110"/>
      <c r="O366" s="117"/>
      <c r="P366" s="119">
        <f t="array" ref="P366">LEN(D366)-SUM((LEN(D366)-LEN(SUBSTITUTE(D366,修饰列表!$B$2:$B$80,修饰列表!$D$2:$D$80))))</f>
        <v>0</v>
      </c>
      <c r="Q366" s="120">
        <f t="shared" si="6"/>
        <v>0</v>
      </c>
    </row>
    <row r="367" spans="1:17" x14ac:dyDescent="0.25">
      <c r="A367" s="113"/>
      <c r="B367" s="114"/>
      <c r="C367" s="114"/>
      <c r="D367" s="115"/>
      <c r="E367" s="104"/>
      <c r="F367" s="117"/>
      <c r="G367" s="117"/>
      <c r="H367" s="117"/>
      <c r="I367" s="117"/>
      <c r="J367" s="117"/>
      <c r="K367" s="110"/>
      <c r="L367" s="110"/>
      <c r="M367" s="110"/>
      <c r="N367" s="110"/>
      <c r="O367" s="117"/>
      <c r="P367" s="119">
        <f t="array" ref="P367">LEN(D367)-SUM((LEN(D367)-LEN(SUBSTITUTE(D367,修饰列表!$B$2:$B$80,修饰列表!$D$2:$D$80))))</f>
        <v>0</v>
      </c>
      <c r="Q367" s="120">
        <f t="shared" si="6"/>
        <v>0</v>
      </c>
    </row>
    <row r="368" spans="1:17" x14ac:dyDescent="0.25">
      <c r="A368" s="113"/>
      <c r="B368" s="114"/>
      <c r="C368" s="114"/>
      <c r="D368" s="115"/>
      <c r="E368" s="104"/>
      <c r="F368" s="117"/>
      <c r="G368" s="117"/>
      <c r="H368" s="117"/>
      <c r="I368" s="117"/>
      <c r="J368" s="117"/>
      <c r="K368" s="110"/>
      <c r="L368" s="110"/>
      <c r="M368" s="110"/>
      <c r="N368" s="110"/>
      <c r="O368" s="117"/>
      <c r="P368" s="119">
        <f t="array" ref="P368">LEN(D368)-SUM((LEN(D368)-LEN(SUBSTITUTE(D368,修饰列表!$B$2:$B$80,修饰列表!$D$2:$D$80))))</f>
        <v>0</v>
      </c>
      <c r="Q368" s="120">
        <f t="shared" si="6"/>
        <v>0</v>
      </c>
    </row>
    <row r="369" spans="1:17" x14ac:dyDescent="0.25">
      <c r="A369" s="113"/>
      <c r="B369" s="114"/>
      <c r="C369" s="114"/>
      <c r="D369" s="115"/>
      <c r="E369" s="104"/>
      <c r="F369" s="117"/>
      <c r="G369" s="117"/>
      <c r="H369" s="117"/>
      <c r="I369" s="117"/>
      <c r="J369" s="117"/>
      <c r="K369" s="110"/>
      <c r="L369" s="110"/>
      <c r="M369" s="110"/>
      <c r="N369" s="110"/>
      <c r="O369" s="117"/>
      <c r="P369" s="119">
        <f t="array" ref="P369">LEN(D369)-SUM((LEN(D369)-LEN(SUBSTITUTE(D369,修饰列表!$B$2:$B$80,修饰列表!$D$2:$D$80))))</f>
        <v>0</v>
      </c>
      <c r="Q369" s="120">
        <f t="shared" si="6"/>
        <v>0</v>
      </c>
    </row>
    <row r="370" spans="1:17" x14ac:dyDescent="0.25">
      <c r="A370" s="113"/>
      <c r="B370" s="114"/>
      <c r="C370" s="114"/>
      <c r="D370" s="115"/>
      <c r="E370" s="104"/>
      <c r="F370" s="117"/>
      <c r="G370" s="117"/>
      <c r="H370" s="117"/>
      <c r="I370" s="117"/>
      <c r="J370" s="117"/>
      <c r="K370" s="110"/>
      <c r="L370" s="110"/>
      <c r="M370" s="110"/>
      <c r="N370" s="110"/>
      <c r="O370" s="117"/>
      <c r="P370" s="119">
        <f t="array" ref="P370">LEN(D370)-SUM((LEN(D370)-LEN(SUBSTITUTE(D370,修饰列表!$B$2:$B$80,修饰列表!$D$2:$D$80))))</f>
        <v>0</v>
      </c>
      <c r="Q370" s="120">
        <f t="shared" si="6"/>
        <v>0</v>
      </c>
    </row>
    <row r="371" spans="1:17" x14ac:dyDescent="0.25">
      <c r="A371" s="113"/>
      <c r="B371" s="114"/>
      <c r="C371" s="114"/>
      <c r="D371" s="115"/>
      <c r="E371" s="104"/>
      <c r="F371" s="117"/>
      <c r="G371" s="117"/>
      <c r="H371" s="117"/>
      <c r="I371" s="117"/>
      <c r="J371" s="117"/>
      <c r="K371" s="110"/>
      <c r="L371" s="110"/>
      <c r="M371" s="110"/>
      <c r="N371" s="110"/>
      <c r="O371" s="117"/>
      <c r="P371" s="119">
        <f t="array" ref="P371">LEN(D371)-SUM((LEN(D371)-LEN(SUBSTITUTE(D371,修饰列表!$B$2:$B$80,修饰列表!$D$2:$D$80))))</f>
        <v>0</v>
      </c>
      <c r="Q371" s="120">
        <f t="shared" si="6"/>
        <v>0</v>
      </c>
    </row>
    <row r="372" spans="1:17" x14ac:dyDescent="0.25">
      <c r="A372" s="113"/>
      <c r="B372" s="114"/>
      <c r="C372" s="114"/>
      <c r="D372" s="115"/>
      <c r="E372" s="104"/>
      <c r="F372" s="117"/>
      <c r="G372" s="117"/>
      <c r="H372" s="117"/>
      <c r="I372" s="117"/>
      <c r="J372" s="117"/>
      <c r="K372" s="110"/>
      <c r="L372" s="110"/>
      <c r="M372" s="110"/>
      <c r="N372" s="110"/>
      <c r="O372" s="117"/>
      <c r="P372" s="119">
        <f t="array" ref="P372">LEN(D372)-SUM((LEN(D372)-LEN(SUBSTITUTE(D372,修饰列表!$B$2:$B$80,修饰列表!$D$2:$D$80))))</f>
        <v>0</v>
      </c>
      <c r="Q372" s="120">
        <f t="shared" si="6"/>
        <v>0</v>
      </c>
    </row>
    <row r="373" spans="1:17" x14ac:dyDescent="0.25">
      <c r="A373" s="113"/>
      <c r="B373" s="114"/>
      <c r="C373" s="114"/>
      <c r="D373" s="115"/>
      <c r="E373" s="104"/>
      <c r="F373" s="117"/>
      <c r="G373" s="117"/>
      <c r="H373" s="117"/>
      <c r="I373" s="117"/>
      <c r="J373" s="117"/>
      <c r="K373" s="110"/>
      <c r="L373" s="110"/>
      <c r="M373" s="110"/>
      <c r="N373" s="110"/>
      <c r="O373" s="117"/>
      <c r="P373" s="119">
        <f t="array" ref="P373">LEN(D373)-SUM((LEN(D373)-LEN(SUBSTITUTE(D373,修饰列表!$B$2:$B$80,修饰列表!$D$2:$D$80))))</f>
        <v>0</v>
      </c>
      <c r="Q373" s="120">
        <f t="shared" si="6"/>
        <v>0</v>
      </c>
    </row>
    <row r="374" spans="1:17" x14ac:dyDescent="0.25">
      <c r="A374" s="113"/>
      <c r="B374" s="114"/>
      <c r="C374" s="114"/>
      <c r="D374" s="115"/>
      <c r="E374" s="104"/>
      <c r="F374" s="117"/>
      <c r="G374" s="117"/>
      <c r="H374" s="117"/>
      <c r="I374" s="117"/>
      <c r="J374" s="117"/>
      <c r="K374" s="110"/>
      <c r="L374" s="110"/>
      <c r="M374" s="110"/>
      <c r="N374" s="110"/>
      <c r="O374" s="117"/>
      <c r="P374" s="119">
        <f t="array" ref="P374">LEN(D374)-SUM((LEN(D374)-LEN(SUBSTITUTE(D374,修饰列表!$B$2:$B$80,修饰列表!$D$2:$D$80))))</f>
        <v>0</v>
      </c>
      <c r="Q374" s="120">
        <f t="shared" si="6"/>
        <v>0</v>
      </c>
    </row>
    <row r="375" spans="1:17" x14ac:dyDescent="0.25">
      <c r="A375" s="113"/>
      <c r="B375" s="114"/>
      <c r="C375" s="114"/>
      <c r="D375" s="115"/>
      <c r="E375" s="104"/>
      <c r="F375" s="117"/>
      <c r="G375" s="117"/>
      <c r="H375" s="117"/>
      <c r="I375" s="117"/>
      <c r="J375" s="117"/>
      <c r="K375" s="110"/>
      <c r="L375" s="110"/>
      <c r="M375" s="110"/>
      <c r="N375" s="110"/>
      <c r="O375" s="117"/>
      <c r="P375" s="119">
        <f t="array" ref="P375">LEN(D375)-SUM((LEN(D375)-LEN(SUBSTITUTE(D375,修饰列表!$B$2:$B$80,修饰列表!$D$2:$D$80))))</f>
        <v>0</v>
      </c>
      <c r="Q375" s="120">
        <f t="shared" si="6"/>
        <v>0</v>
      </c>
    </row>
    <row r="376" spans="1:17" x14ac:dyDescent="0.25">
      <c r="A376" s="113"/>
      <c r="B376" s="114"/>
      <c r="C376" s="114"/>
      <c r="D376" s="115"/>
      <c r="E376" s="104"/>
      <c r="F376" s="117"/>
      <c r="G376" s="117"/>
      <c r="H376" s="117"/>
      <c r="I376" s="117"/>
      <c r="J376" s="117"/>
      <c r="K376" s="110"/>
      <c r="L376" s="110"/>
      <c r="M376" s="110"/>
      <c r="N376" s="110"/>
      <c r="O376" s="117"/>
      <c r="P376" s="119">
        <f t="array" ref="P376">LEN(D376)-SUM((LEN(D376)-LEN(SUBSTITUTE(D376,修饰列表!$B$2:$B$80,修饰列表!$D$2:$D$80))))</f>
        <v>0</v>
      </c>
      <c r="Q376" s="120">
        <f t="shared" si="6"/>
        <v>0</v>
      </c>
    </row>
    <row r="377" spans="1:17" x14ac:dyDescent="0.25">
      <c r="A377" s="113"/>
      <c r="B377" s="114"/>
      <c r="C377" s="114"/>
      <c r="D377" s="115"/>
      <c r="E377" s="104"/>
      <c r="F377" s="117"/>
      <c r="G377" s="117"/>
      <c r="H377" s="117"/>
      <c r="I377" s="117"/>
      <c r="J377" s="117"/>
      <c r="K377" s="110"/>
      <c r="L377" s="110"/>
      <c r="M377" s="110"/>
      <c r="N377" s="110"/>
      <c r="O377" s="117"/>
      <c r="P377" s="119">
        <f t="array" ref="P377">LEN(D377)-SUM((LEN(D377)-LEN(SUBSTITUTE(D377,修饰列表!$B$2:$B$80,修饰列表!$D$2:$D$80))))</f>
        <v>0</v>
      </c>
      <c r="Q377" s="120">
        <f t="shared" si="6"/>
        <v>0</v>
      </c>
    </row>
    <row r="378" spans="1:17" x14ac:dyDescent="0.25">
      <c r="A378" s="113"/>
      <c r="B378" s="114"/>
      <c r="C378" s="114"/>
      <c r="D378" s="115"/>
      <c r="E378" s="104"/>
      <c r="F378" s="117"/>
      <c r="G378" s="117"/>
      <c r="H378" s="117"/>
      <c r="I378" s="117"/>
      <c r="J378" s="117"/>
      <c r="K378" s="110"/>
      <c r="L378" s="110"/>
      <c r="M378" s="110"/>
      <c r="N378" s="110"/>
      <c r="O378" s="117"/>
      <c r="P378" s="119">
        <f t="array" ref="P378">LEN(D378)-SUM((LEN(D378)-LEN(SUBSTITUTE(D378,修饰列表!$B$2:$B$80,修饰列表!$D$2:$D$80))))</f>
        <v>0</v>
      </c>
      <c r="Q378" s="120">
        <f t="shared" si="6"/>
        <v>0</v>
      </c>
    </row>
    <row r="379" spans="1:17" x14ac:dyDescent="0.25">
      <c r="A379" s="113"/>
      <c r="B379" s="114"/>
      <c r="C379" s="114"/>
      <c r="D379" s="115"/>
      <c r="E379" s="104"/>
      <c r="F379" s="117"/>
      <c r="G379" s="117"/>
      <c r="H379" s="117"/>
      <c r="I379" s="117"/>
      <c r="J379" s="117"/>
      <c r="K379" s="110"/>
      <c r="L379" s="110"/>
      <c r="M379" s="110"/>
      <c r="N379" s="110"/>
      <c r="O379" s="117"/>
      <c r="P379" s="119">
        <f t="array" ref="P379">LEN(D379)-SUM((LEN(D379)-LEN(SUBSTITUTE(D379,修饰列表!$B$2:$B$80,修饰列表!$D$2:$D$80))))</f>
        <v>0</v>
      </c>
      <c r="Q379" s="120">
        <f t="shared" si="6"/>
        <v>0</v>
      </c>
    </row>
    <row r="380" spans="1:17" x14ac:dyDescent="0.25">
      <c r="A380" s="113"/>
      <c r="B380" s="114"/>
      <c r="C380" s="114"/>
      <c r="D380" s="115"/>
      <c r="E380" s="104"/>
      <c r="F380" s="117"/>
      <c r="G380" s="117"/>
      <c r="H380" s="117"/>
      <c r="I380" s="117"/>
      <c r="J380" s="117"/>
      <c r="K380" s="110"/>
      <c r="L380" s="110"/>
      <c r="M380" s="110"/>
      <c r="N380" s="110"/>
      <c r="O380" s="117"/>
      <c r="P380" s="119">
        <f t="array" ref="P380">LEN(D380)-SUM((LEN(D380)-LEN(SUBSTITUTE(D380,修饰列表!$B$2:$B$80,修饰列表!$D$2:$D$80))))</f>
        <v>0</v>
      </c>
      <c r="Q380" s="120">
        <f t="shared" si="6"/>
        <v>0</v>
      </c>
    </row>
    <row r="381" spans="1:17" x14ac:dyDescent="0.25">
      <c r="A381" s="113"/>
      <c r="B381" s="114"/>
      <c r="C381" s="114"/>
      <c r="D381" s="115"/>
      <c r="E381" s="104"/>
      <c r="F381" s="117"/>
      <c r="G381" s="117"/>
      <c r="H381" s="117"/>
      <c r="I381" s="117"/>
      <c r="J381" s="117"/>
      <c r="K381" s="110"/>
      <c r="L381" s="110"/>
      <c r="M381" s="110"/>
      <c r="N381" s="110"/>
      <c r="O381" s="117"/>
      <c r="P381" s="119">
        <f t="array" ref="P381">LEN(D381)-SUM((LEN(D381)-LEN(SUBSTITUTE(D381,修饰列表!$B$2:$B$80,修饰列表!$D$2:$D$80))))</f>
        <v>0</v>
      </c>
      <c r="Q381" s="120">
        <f t="shared" si="6"/>
        <v>0</v>
      </c>
    </row>
    <row r="382" spans="1:17" x14ac:dyDescent="0.25">
      <c r="A382" s="113"/>
      <c r="B382" s="114"/>
      <c r="C382" s="114"/>
      <c r="D382" s="115"/>
      <c r="E382" s="104"/>
      <c r="F382" s="117"/>
      <c r="G382" s="117"/>
      <c r="H382" s="117"/>
      <c r="I382" s="117"/>
      <c r="J382" s="117"/>
      <c r="K382" s="110"/>
      <c r="L382" s="110"/>
      <c r="M382" s="110"/>
      <c r="N382" s="110"/>
      <c r="O382" s="117"/>
      <c r="P382" s="119">
        <f t="array" ref="P382">LEN(D382)-SUM((LEN(D382)-LEN(SUBSTITUTE(D382,修饰列表!$B$2:$B$80,修饰列表!$D$2:$D$80))))</f>
        <v>0</v>
      </c>
      <c r="Q382" s="120">
        <f t="shared" si="6"/>
        <v>0</v>
      </c>
    </row>
    <row r="383" spans="1:17" x14ac:dyDescent="0.25">
      <c r="A383" s="113"/>
      <c r="B383" s="114"/>
      <c r="C383" s="114"/>
      <c r="D383" s="115"/>
      <c r="E383" s="104"/>
      <c r="F383" s="117"/>
      <c r="G383" s="117"/>
      <c r="H383" s="117"/>
      <c r="I383" s="117"/>
      <c r="J383" s="117"/>
      <c r="K383" s="110"/>
      <c r="L383" s="110"/>
      <c r="M383" s="110"/>
      <c r="N383" s="110"/>
      <c r="O383" s="117"/>
      <c r="P383" s="119">
        <f t="array" ref="P383">LEN(D383)-SUM((LEN(D383)-LEN(SUBSTITUTE(D383,修饰列表!$B$2:$B$80,修饰列表!$D$2:$D$80))))</f>
        <v>0</v>
      </c>
      <c r="Q383" s="120">
        <f t="shared" si="6"/>
        <v>0</v>
      </c>
    </row>
    <row r="384" spans="1:17" x14ac:dyDescent="0.25">
      <c r="A384" s="113"/>
      <c r="B384" s="114"/>
      <c r="C384" s="114"/>
      <c r="D384" s="115"/>
      <c r="E384" s="104"/>
      <c r="F384" s="117"/>
      <c r="G384" s="117"/>
      <c r="H384" s="117"/>
      <c r="I384" s="117"/>
      <c r="J384" s="117"/>
      <c r="K384" s="110"/>
      <c r="L384" s="110"/>
      <c r="M384" s="110"/>
      <c r="N384" s="110"/>
      <c r="O384" s="117"/>
      <c r="P384" s="119">
        <f t="array" ref="P384">LEN(D384)-SUM((LEN(D384)-LEN(SUBSTITUTE(D384,修饰列表!$B$2:$B$80,修饰列表!$D$2:$D$80))))</f>
        <v>0</v>
      </c>
      <c r="Q384" s="120">
        <f t="shared" si="6"/>
        <v>0</v>
      </c>
    </row>
    <row r="385" spans="1:17" x14ac:dyDescent="0.25">
      <c r="A385" s="113"/>
      <c r="B385" s="114"/>
      <c r="C385" s="114"/>
      <c r="D385" s="115"/>
      <c r="E385" s="104"/>
      <c r="F385" s="117"/>
      <c r="G385" s="117"/>
      <c r="H385" s="117"/>
      <c r="I385" s="117"/>
      <c r="J385" s="117"/>
      <c r="K385" s="110"/>
      <c r="L385" s="110"/>
      <c r="M385" s="110"/>
      <c r="N385" s="110"/>
      <c r="O385" s="117"/>
      <c r="P385" s="119">
        <f t="array" ref="P385">LEN(D385)-SUM((LEN(D385)-LEN(SUBSTITUTE(D385,修饰列表!$B$2:$B$80,修饰列表!$D$2:$D$80))))</f>
        <v>0</v>
      </c>
      <c r="Q385" s="120">
        <f t="shared" si="6"/>
        <v>0</v>
      </c>
    </row>
    <row r="386" spans="1:17" x14ac:dyDescent="0.25">
      <c r="A386" s="113"/>
      <c r="B386" s="114"/>
      <c r="C386" s="114"/>
      <c r="D386" s="115"/>
      <c r="E386" s="104"/>
      <c r="F386" s="117"/>
      <c r="G386" s="117"/>
      <c r="H386" s="117"/>
      <c r="I386" s="117"/>
      <c r="J386" s="117"/>
      <c r="K386" s="110"/>
      <c r="L386" s="110"/>
      <c r="M386" s="110"/>
      <c r="N386" s="110"/>
      <c r="O386" s="117"/>
      <c r="P386" s="119">
        <f t="array" ref="P386">LEN(D386)-SUM((LEN(D386)-LEN(SUBSTITUTE(D386,修饰列表!$B$2:$B$80,修饰列表!$D$2:$D$80))))</f>
        <v>0</v>
      </c>
      <c r="Q386" s="120">
        <f t="shared" si="6"/>
        <v>0</v>
      </c>
    </row>
    <row r="387" spans="1:17" x14ac:dyDescent="0.25">
      <c r="A387" s="113"/>
      <c r="B387" s="114"/>
      <c r="C387" s="114"/>
      <c r="D387" s="115"/>
      <c r="E387" s="104"/>
      <c r="F387" s="117"/>
      <c r="G387" s="117"/>
      <c r="H387" s="117"/>
      <c r="I387" s="117"/>
      <c r="J387" s="117"/>
      <c r="K387" s="110"/>
      <c r="L387" s="110"/>
      <c r="M387" s="110"/>
      <c r="N387" s="110"/>
      <c r="O387" s="117"/>
      <c r="P387" s="119">
        <f t="array" ref="P387">LEN(D387)-SUM((LEN(D387)-LEN(SUBSTITUTE(D387,修饰列表!$B$2:$B$80,修饰列表!$D$2:$D$80))))</f>
        <v>0</v>
      </c>
      <c r="Q387" s="120">
        <f t="shared" si="6"/>
        <v>0</v>
      </c>
    </row>
    <row r="388" spans="1:17" x14ac:dyDescent="0.25">
      <c r="A388" s="113"/>
      <c r="B388" s="114"/>
      <c r="C388" s="114"/>
      <c r="D388" s="115"/>
      <c r="E388" s="104"/>
      <c r="F388" s="117"/>
      <c r="G388" s="117"/>
      <c r="H388" s="117"/>
      <c r="I388" s="117"/>
      <c r="J388" s="117"/>
      <c r="K388" s="110"/>
      <c r="L388" s="110"/>
      <c r="M388" s="110"/>
      <c r="N388" s="110"/>
      <c r="O388" s="117"/>
      <c r="P388" s="119">
        <f t="array" ref="P388">LEN(D388)-SUM((LEN(D388)-LEN(SUBSTITUTE(D388,修饰列表!$B$2:$B$80,修饰列表!$D$2:$D$80))))</f>
        <v>0</v>
      </c>
      <c r="Q388" s="120">
        <f t="shared" si="6"/>
        <v>0</v>
      </c>
    </row>
    <row r="389" spans="1:17" x14ac:dyDescent="0.25">
      <c r="A389" s="113"/>
      <c r="B389" s="114"/>
      <c r="C389" s="114"/>
      <c r="D389" s="115"/>
      <c r="E389" s="104"/>
      <c r="F389" s="117"/>
      <c r="G389" s="117"/>
      <c r="H389" s="117"/>
      <c r="I389" s="117"/>
      <c r="J389" s="117"/>
      <c r="K389" s="110"/>
      <c r="L389" s="110"/>
      <c r="M389" s="110"/>
      <c r="N389" s="110"/>
      <c r="O389" s="117"/>
      <c r="P389" s="119">
        <f t="array" ref="P389">LEN(D389)-SUM((LEN(D389)-LEN(SUBSTITUTE(D389,修饰列表!$B$2:$B$80,修饰列表!$D$2:$D$80))))</f>
        <v>0</v>
      </c>
      <c r="Q389" s="120">
        <f t="shared" si="6"/>
        <v>0</v>
      </c>
    </row>
    <row r="390" spans="1:17" x14ac:dyDescent="0.25">
      <c r="A390" s="113"/>
      <c r="B390" s="114"/>
      <c r="C390" s="114"/>
      <c r="D390" s="115"/>
      <c r="E390" s="104"/>
      <c r="F390" s="117"/>
      <c r="G390" s="117"/>
      <c r="H390" s="117"/>
      <c r="I390" s="117"/>
      <c r="J390" s="117"/>
      <c r="K390" s="110"/>
      <c r="L390" s="110"/>
      <c r="M390" s="110"/>
      <c r="N390" s="110"/>
      <c r="O390" s="117"/>
      <c r="P390" s="119">
        <f t="array" ref="P390">LEN(D390)-SUM((LEN(D390)-LEN(SUBSTITUTE(D390,修饰列表!$B$2:$B$80,修饰列表!$D$2:$D$80))))</f>
        <v>0</v>
      </c>
      <c r="Q390" s="120">
        <f t="shared" si="6"/>
        <v>0</v>
      </c>
    </row>
    <row r="391" spans="1:17" x14ac:dyDescent="0.25">
      <c r="A391" s="113"/>
      <c r="B391" s="114"/>
      <c r="C391" s="114"/>
      <c r="D391" s="115"/>
      <c r="E391" s="104"/>
      <c r="F391" s="117"/>
      <c r="G391" s="117"/>
      <c r="H391" s="117"/>
      <c r="I391" s="117"/>
      <c r="J391" s="117"/>
      <c r="K391" s="110"/>
      <c r="L391" s="110"/>
      <c r="M391" s="110"/>
      <c r="N391" s="110"/>
      <c r="O391" s="117"/>
      <c r="P391" s="119">
        <f t="array" ref="P391">LEN(D391)-SUM((LEN(D391)-LEN(SUBSTITUTE(D391,修饰列表!$B$2:$B$80,修饰列表!$D$2:$D$80))))</f>
        <v>0</v>
      </c>
      <c r="Q391" s="120">
        <f t="shared" si="6"/>
        <v>0</v>
      </c>
    </row>
    <row r="392" spans="1:17" x14ac:dyDescent="0.25">
      <c r="A392" s="113"/>
      <c r="B392" s="114"/>
      <c r="C392" s="114"/>
      <c r="D392" s="115"/>
      <c r="E392" s="104"/>
      <c r="F392" s="117"/>
      <c r="G392" s="117"/>
      <c r="H392" s="117"/>
      <c r="I392" s="117"/>
      <c r="J392" s="117"/>
      <c r="K392" s="110"/>
      <c r="L392" s="110"/>
      <c r="M392" s="110"/>
      <c r="N392" s="110"/>
      <c r="O392" s="117"/>
      <c r="P392" s="119">
        <f t="array" ref="P392">LEN(D392)-SUM((LEN(D392)-LEN(SUBSTITUTE(D392,修饰列表!$B$2:$B$80,修饰列表!$D$2:$D$80))))</f>
        <v>0</v>
      </c>
      <c r="Q392" s="120">
        <f t="shared" si="6"/>
        <v>0</v>
      </c>
    </row>
    <row r="393" spans="1:17" x14ac:dyDescent="0.25">
      <c r="A393" s="113"/>
      <c r="B393" s="114"/>
      <c r="C393" s="114"/>
      <c r="D393" s="115"/>
      <c r="E393" s="104"/>
      <c r="F393" s="117"/>
      <c r="G393" s="117"/>
      <c r="H393" s="117"/>
      <c r="I393" s="117"/>
      <c r="J393" s="117"/>
      <c r="K393" s="110"/>
      <c r="L393" s="110"/>
      <c r="M393" s="110"/>
      <c r="N393" s="110"/>
      <c r="O393" s="117"/>
      <c r="P393" s="119">
        <f t="array" ref="P393">LEN(D393)-SUM((LEN(D393)-LEN(SUBSTITUTE(D393,修饰列表!$B$2:$B$80,修饰列表!$D$2:$D$80))))</f>
        <v>0</v>
      </c>
      <c r="Q393" s="120">
        <f t="shared" si="6"/>
        <v>0</v>
      </c>
    </row>
    <row r="394" spans="1:17" x14ac:dyDescent="0.25">
      <c r="A394" s="113"/>
      <c r="B394" s="114"/>
      <c r="C394" s="114"/>
      <c r="D394" s="115"/>
      <c r="E394" s="104"/>
      <c r="F394" s="117"/>
      <c r="G394" s="117"/>
      <c r="H394" s="117"/>
      <c r="I394" s="117"/>
      <c r="J394" s="117"/>
      <c r="K394" s="110"/>
      <c r="L394" s="110"/>
      <c r="M394" s="110"/>
      <c r="N394" s="110"/>
      <c r="O394" s="117"/>
      <c r="P394" s="119">
        <f t="array" ref="P394">LEN(D394)-SUM((LEN(D394)-LEN(SUBSTITUTE(D394,修饰列表!$B$2:$B$80,修饰列表!$D$2:$D$80))))</f>
        <v>0</v>
      </c>
      <c r="Q394" s="120">
        <f t="shared" si="6"/>
        <v>0</v>
      </c>
    </row>
    <row r="395" spans="1:17" x14ac:dyDescent="0.25">
      <c r="A395" s="113"/>
      <c r="B395" s="114"/>
      <c r="C395" s="114"/>
      <c r="D395" s="115"/>
      <c r="E395" s="104"/>
      <c r="F395" s="117"/>
      <c r="G395" s="117"/>
      <c r="H395" s="117"/>
      <c r="I395" s="117"/>
      <c r="J395" s="117"/>
      <c r="K395" s="110"/>
      <c r="L395" s="110"/>
      <c r="M395" s="110"/>
      <c r="N395" s="110"/>
      <c r="O395" s="117"/>
      <c r="P395" s="119">
        <f t="array" ref="P395">LEN(D395)-SUM((LEN(D395)-LEN(SUBSTITUTE(D395,修饰列表!$B$2:$B$80,修饰列表!$D$2:$D$80))))</f>
        <v>0</v>
      </c>
      <c r="Q395" s="120">
        <f t="shared" si="6"/>
        <v>0</v>
      </c>
    </row>
    <row r="396" spans="1:17" x14ac:dyDescent="0.25">
      <c r="A396" s="113"/>
      <c r="B396" s="114"/>
      <c r="C396" s="114"/>
      <c r="D396" s="115"/>
      <c r="E396" s="104"/>
      <c r="F396" s="117"/>
      <c r="G396" s="117"/>
      <c r="H396" s="117"/>
      <c r="I396" s="117"/>
      <c r="J396" s="117"/>
      <c r="K396" s="110"/>
      <c r="L396" s="110"/>
      <c r="M396" s="110"/>
      <c r="N396" s="110"/>
      <c r="O396" s="117"/>
      <c r="P396" s="119">
        <f t="array" ref="P396">LEN(D396)-SUM((LEN(D396)-LEN(SUBSTITUTE(D396,修饰列表!$B$2:$B$80,修饰列表!$D$2:$D$80))))</f>
        <v>0</v>
      </c>
      <c r="Q396" s="120">
        <f t="shared" si="6"/>
        <v>0</v>
      </c>
    </row>
    <row r="397" spans="1:17" x14ac:dyDescent="0.25">
      <c r="A397" s="113"/>
      <c r="B397" s="114"/>
      <c r="C397" s="114"/>
      <c r="D397" s="115"/>
      <c r="E397" s="104"/>
      <c r="F397" s="117"/>
      <c r="G397" s="117"/>
      <c r="H397" s="117"/>
      <c r="I397" s="117"/>
      <c r="J397" s="117"/>
      <c r="K397" s="110"/>
      <c r="L397" s="110"/>
      <c r="M397" s="110"/>
      <c r="N397" s="110"/>
      <c r="O397" s="117"/>
      <c r="P397" s="119">
        <f t="array" ref="P397">LEN(D397)-SUM((LEN(D397)-LEN(SUBSTITUTE(D397,修饰列表!$B$2:$B$80,修饰列表!$D$2:$D$80))))</f>
        <v>0</v>
      </c>
      <c r="Q397" s="120">
        <f t="shared" si="6"/>
        <v>0</v>
      </c>
    </row>
    <row r="398" spans="1:17" x14ac:dyDescent="0.25">
      <c r="A398" s="113"/>
      <c r="B398" s="114"/>
      <c r="C398" s="114"/>
      <c r="D398" s="115"/>
      <c r="E398" s="104"/>
      <c r="F398" s="117"/>
      <c r="G398" s="117"/>
      <c r="H398" s="117"/>
      <c r="I398" s="117"/>
      <c r="J398" s="117"/>
      <c r="K398" s="110"/>
      <c r="L398" s="110"/>
      <c r="M398" s="110"/>
      <c r="N398" s="110"/>
      <c r="O398" s="117"/>
      <c r="P398" s="119">
        <f t="array" ref="P398">LEN(D398)-SUM((LEN(D398)-LEN(SUBSTITUTE(D398,修饰列表!$B$2:$B$80,修饰列表!$D$2:$D$80))))</f>
        <v>0</v>
      </c>
      <c r="Q398" s="120">
        <f t="shared" si="6"/>
        <v>0</v>
      </c>
    </row>
    <row r="399" spans="1:17" x14ac:dyDescent="0.25">
      <c r="A399" s="113"/>
      <c r="B399" s="114"/>
      <c r="C399" s="114"/>
      <c r="D399" s="115"/>
      <c r="E399" s="104"/>
      <c r="F399" s="117"/>
      <c r="G399" s="117"/>
      <c r="H399" s="117"/>
      <c r="I399" s="117"/>
      <c r="J399" s="117"/>
      <c r="K399" s="110"/>
      <c r="L399" s="110"/>
      <c r="M399" s="110"/>
      <c r="N399" s="110"/>
      <c r="O399" s="117"/>
      <c r="P399" s="119">
        <f t="array" ref="P399">LEN(D399)-SUM((LEN(D399)-LEN(SUBSTITUTE(D399,修饰列表!$B$2:$B$80,修饰列表!$D$2:$D$80))))</f>
        <v>0</v>
      </c>
      <c r="Q399" s="120">
        <f t="shared" si="6"/>
        <v>0</v>
      </c>
    </row>
    <row r="400" spans="1:17" x14ac:dyDescent="0.25">
      <c r="A400" s="113"/>
      <c r="B400" s="114"/>
      <c r="C400" s="114"/>
      <c r="D400" s="115"/>
      <c r="E400" s="104"/>
      <c r="F400" s="117"/>
      <c r="G400" s="117"/>
      <c r="H400" s="117"/>
      <c r="I400" s="117"/>
      <c r="J400" s="117"/>
      <c r="K400" s="110"/>
      <c r="L400" s="110"/>
      <c r="M400" s="110"/>
      <c r="N400" s="110"/>
      <c r="O400" s="117"/>
      <c r="P400" s="119">
        <f t="array" ref="P400">LEN(D400)-SUM((LEN(D400)-LEN(SUBSTITUTE(D400,修饰列表!$B$2:$B$80,修饰列表!$D$2:$D$80))))</f>
        <v>0</v>
      </c>
      <c r="Q400" s="120">
        <f t="shared" si="6"/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otectedRanges>
    <protectedRange algorithmName="SHA-512" hashValue="Xj1tnDbCPhK7041cqsySNVmJjuFfwdymM4zUmk8ZJtf3rk6zJ/V5ExczlSjVz00WFSoNghJ13qh4zaJUQcdtMg==" saltValue="qFMOjIIShA3MoipXGHb/AQ==" spinCount="100000" sqref="B20:O400" name="区域3"/>
    <protectedRange algorithmName="SHA-512" hashValue="+bDWTqfMnb7DqgsY/kJ4DZWKWqf9dQ2P2me1mmdFBi4DBzAXEuM6Bh3RwKa56JtGpdUpIDmHSeIXK9ZN2NCfOQ==" saltValue="SO9D/vaRonCYX3CIbOWDmA==" spinCount="100000" sqref="B8:E18" name="区域2"/>
    <protectedRange algorithmName="SHA-512" hashValue="mUMRCW+2E+U5YGRJGrvdpmCcCfs11FpS7yE404eOWMkstqDiaeQ+Gd2GA6rAv9VeaLGfgGh6RqdOVj7P4MfRYw==" saltValue="M8GiKzXQYLJYyqIuySmxZw==" spinCount="100000" sqref="B4:E7" name="区域1"/>
  </protectedRanges>
  <mergeCells count="24">
    <mergeCell ref="B18:E18"/>
    <mergeCell ref="A1:A3"/>
    <mergeCell ref="B1:P3"/>
    <mergeCell ref="B10:E10"/>
    <mergeCell ref="B11:E11"/>
    <mergeCell ref="B12:E12"/>
    <mergeCell ref="B13:E13"/>
    <mergeCell ref="B14:E14"/>
    <mergeCell ref="B7:E7"/>
    <mergeCell ref="F7:P7"/>
    <mergeCell ref="B8:E8"/>
    <mergeCell ref="F9:P15"/>
    <mergeCell ref="F16:P17"/>
    <mergeCell ref="F8:P8"/>
    <mergeCell ref="B9:E9"/>
    <mergeCell ref="B4:E4"/>
    <mergeCell ref="D15:E15"/>
    <mergeCell ref="B16:E16"/>
    <mergeCell ref="B17:E17"/>
    <mergeCell ref="F4:P4"/>
    <mergeCell ref="B5:E5"/>
    <mergeCell ref="F5:P5"/>
    <mergeCell ref="B6:E6"/>
    <mergeCell ref="F6:P6"/>
  </mergeCells>
  <phoneticPr fontId="1" type="noConversion"/>
  <dataValidations xWindow="2370" yWindow="294" count="10">
    <dataValidation type="list" allowBlank="1" showInputMessage="1" showErrorMessage="1" prompt="此处，为公司代号，请不要修改" sqref="B12:E12" xr:uid="{00000000-0002-0000-0000-000001000000}">
      <formula1>"干粉,液体"</formula1>
    </dataValidation>
    <dataValidation type="list" allowBlank="1" showInputMessage="1" showErrorMessage="1" sqref="B8:E8" xr:uid="{00000000-0002-0000-0000-000002000000}">
      <formula1>"PCR,STR,恒温,NGS接头,NGS 捕获探针,其他"</formula1>
    </dataValidation>
    <dataValidation allowBlank="1" showInputMessage="1" showErrorMessage="1" prompt="此处为公司自动生成的编号，请不要填写。" sqref="A30:A400" xr:uid="{00000000-0002-0000-0000-000003000000}"/>
    <dataValidation allowBlank="1" showInputMessage="1" showErrorMessage="1" prompt="默认是T，代表1.5ml离心管装，如果要分96孔板，请用P表示" sqref="B11:E11" xr:uid="{00000000-0002-0000-0000-000004000000}"/>
    <dataValidation type="list" allowBlank="1" showInputMessage="1" showErrorMessage="1" sqref="B17:E17" xr:uid="{00000000-0002-0000-0000-000006000000}">
      <formula1>"专票,普票,电子专票,电子普票"</formula1>
    </dataValidation>
    <dataValidation type="list" allowBlank="1" showInputMessage="1" showErrorMessage="1" sqref="E20:E400" xr:uid="{00000000-0002-0000-0000-000007000000}">
      <formula1>"DSL,UPAGE,PAGE,HPLC,DHPLC"</formula1>
    </dataValidation>
    <dataValidation type="list" allowBlank="1" showInputMessage="1" showErrorMessage="1" sqref="K20:K400" xr:uid="{00000000-0002-0000-0000-000008000000}">
      <formula1>"BLG白色标签,BLG透明标签,无LOGO标签"</formula1>
    </dataValidation>
    <dataValidation type="list" allowBlank="1" showInputMessage="1" showErrorMessage="1" sqref="N20:N400" xr:uid="{00000000-0002-0000-0000-00000A000000}">
      <formula1>"HPTP,MSTP,H+M,H+F,M+F,H+M+F,H+M+C,H+M+F+C,"</formula1>
    </dataValidation>
    <dataValidation allowBlank="1" showInputMessage="1" showErrorMessage="1" prompt="此处由公司系统产生，请不要填写" sqref="B13:E14" xr:uid="{00000000-0002-0000-0000-00000B000000}"/>
    <dataValidation type="list" allowBlank="1" showInputMessage="1" showErrorMessage="1" sqref="L20:L400" xr:uid="{4ACC9227-C23A-4E02-B695-3E80CE73DF96}">
      <formula1>"1.5ml离心管,2ml离心管,5ml离心管,50ml离心管"</formula1>
    </dataValidation>
  </dataValidations>
  <hyperlinks>
    <hyperlink ref="F6" r:id="rId1" display="网址：www.bioligo.cn" xr:uid="{00000000-0004-0000-0000-000000000000}"/>
    <hyperlink ref="F6:P6" r:id="rId2" display="网址：www.bioligo.cn" xr:uid="{00000000-0004-0000-0000-000001000000}"/>
  </hyperlinks>
  <pageMargins left="0.75" right="0.75" top="1" bottom="1" header="0.5" footer="0.5"/>
  <pageSetup paperSize="9" orientation="portrait" horizontalDpi="300" verticalDpi="300"/>
  <headerFooter alignWithMargins="0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xWindow="2370" yWindow="294" count="3">
        <x14:dataValidation type="list" allowBlank="1" showInputMessage="1" showErrorMessage="1" xr:uid="{78C91F42-2D38-4474-9A72-5C72F751D2EF}">
          <x14:formula1>
            <xm:f>填写说明!$S$2:$S$25</xm:f>
          </x14:formula1>
          <xm:sqref>M20:M400</xm:sqref>
        </x14:dataValidation>
        <x14:dataValidation type="list" allowBlank="1" showInputMessage="1" showErrorMessage="1" xr:uid="{657CA56E-B3ED-47B2-8041-4FABF6A0D047}">
          <x14:formula1>
            <xm:f>可合成修饰种类!$J$2:$J$82</xm:f>
          </x14:formula1>
          <xm:sqref>G20:G400</xm:sqref>
        </x14:dataValidation>
        <x14:dataValidation type="list" allowBlank="1" showInputMessage="1" showErrorMessage="1" xr:uid="{D83F2D82-4B73-4307-B525-691BC4BB9DC3}">
          <x14:formula1>
            <xm:f>可合成修饰种类!$G$2:$G$105</xm:f>
          </x14:formula1>
          <xm:sqref>F20:F400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62"/>
  <sheetViews>
    <sheetView topLeftCell="A16" workbookViewId="0">
      <selection activeCell="E42" sqref="E42"/>
    </sheetView>
  </sheetViews>
  <sheetFormatPr defaultColWidth="9" defaultRowHeight="15.6" x14ac:dyDescent="0.15"/>
  <cols>
    <col min="1" max="1" width="17.69921875" style="1" customWidth="1"/>
    <col min="2" max="2" width="13.19921875" style="1" customWidth="1"/>
    <col min="3" max="3" width="7.19921875" style="1" customWidth="1"/>
    <col min="4" max="4" width="8.69921875" style="2" customWidth="1"/>
    <col min="5" max="6" width="10.69921875" customWidth="1"/>
    <col min="8" max="9" width="13.8984375" customWidth="1"/>
    <col min="10" max="10" width="9.19921875" customWidth="1"/>
    <col min="11" max="11" width="10.5" customWidth="1"/>
    <col min="12" max="12" width="10" customWidth="1"/>
  </cols>
  <sheetData>
    <row r="1" spans="1:12" x14ac:dyDescent="0.25">
      <c r="B1" s="3" t="s">
        <v>16</v>
      </c>
      <c r="C1" s="3"/>
      <c r="D1" s="3"/>
      <c r="I1" s="3" t="s">
        <v>17</v>
      </c>
      <c r="J1" s="3"/>
    </row>
    <row r="2" spans="1:12" x14ac:dyDescent="0.25">
      <c r="A2" s="4" t="s">
        <v>18</v>
      </c>
      <c r="B2" s="4" t="s">
        <v>19</v>
      </c>
      <c r="C2" s="4" t="s">
        <v>20</v>
      </c>
      <c r="D2" s="4" t="s">
        <v>15</v>
      </c>
      <c r="E2" s="201" t="s">
        <v>21</v>
      </c>
      <c r="F2" s="202"/>
      <c r="H2" s="4" t="s">
        <v>18</v>
      </c>
      <c r="I2" s="4" t="s">
        <v>19</v>
      </c>
      <c r="J2" s="4" t="s">
        <v>15</v>
      </c>
      <c r="K2" s="201" t="s">
        <v>21</v>
      </c>
      <c r="L2" s="202"/>
    </row>
    <row r="3" spans="1:12" x14ac:dyDescent="0.25">
      <c r="A3" s="5" t="s">
        <v>22</v>
      </c>
      <c r="B3" s="5" t="s">
        <v>23</v>
      </c>
      <c r="C3" s="5" t="s">
        <v>24</v>
      </c>
      <c r="D3" s="6">
        <f t="shared" ref="D3:D17" si="0">LEN(C3)</f>
        <v>1</v>
      </c>
      <c r="E3" s="7" t="s">
        <v>25</v>
      </c>
      <c r="F3" s="8" t="s">
        <v>26</v>
      </c>
      <c r="G3" s="2"/>
      <c r="H3" s="9" t="s">
        <v>27</v>
      </c>
      <c r="I3" s="13" t="s">
        <v>27</v>
      </c>
      <c r="J3" s="14">
        <v>1</v>
      </c>
      <c r="K3" s="7" t="s">
        <v>25</v>
      </c>
      <c r="L3" s="8" t="s">
        <v>26</v>
      </c>
    </row>
    <row r="4" spans="1:12" x14ac:dyDescent="0.25">
      <c r="A4" s="5" t="s">
        <v>28</v>
      </c>
      <c r="B4" s="5" t="s">
        <v>29</v>
      </c>
      <c r="C4" s="5" t="s">
        <v>30</v>
      </c>
      <c r="D4" s="6">
        <f t="shared" si="0"/>
        <v>1</v>
      </c>
      <c r="E4" s="7" t="s">
        <v>31</v>
      </c>
      <c r="F4" s="8" t="s">
        <v>32</v>
      </c>
      <c r="G4" s="2"/>
      <c r="H4" s="9" t="s">
        <v>33</v>
      </c>
      <c r="I4" s="13" t="s">
        <v>33</v>
      </c>
      <c r="J4" s="14">
        <v>1</v>
      </c>
      <c r="K4" s="7" t="s">
        <v>31</v>
      </c>
      <c r="L4" s="8" t="s">
        <v>34</v>
      </c>
    </row>
    <row r="5" spans="1:12" x14ac:dyDescent="0.25">
      <c r="A5" s="5" t="s">
        <v>35</v>
      </c>
      <c r="B5" s="5" t="s">
        <v>36</v>
      </c>
      <c r="C5" s="5" t="s">
        <v>37</v>
      </c>
      <c r="D5" s="6">
        <f t="shared" si="0"/>
        <v>1</v>
      </c>
      <c r="E5" s="7" t="s">
        <v>38</v>
      </c>
      <c r="F5" s="8" t="s">
        <v>39</v>
      </c>
      <c r="G5" s="2"/>
      <c r="H5" s="9" t="s">
        <v>40</v>
      </c>
      <c r="I5" s="13" t="s">
        <v>40</v>
      </c>
      <c r="J5" s="14">
        <v>1</v>
      </c>
      <c r="K5" s="7" t="s">
        <v>41</v>
      </c>
      <c r="L5" s="8" t="s">
        <v>42</v>
      </c>
    </row>
    <row r="6" spans="1:12" x14ac:dyDescent="0.25">
      <c r="A6" s="5" t="s">
        <v>43</v>
      </c>
      <c r="B6" s="5" t="s">
        <v>44</v>
      </c>
      <c r="C6" s="5" t="s">
        <v>45</v>
      </c>
      <c r="D6" s="6">
        <f t="shared" si="0"/>
        <v>1</v>
      </c>
      <c r="E6" s="7" t="s">
        <v>46</v>
      </c>
      <c r="F6" s="8" t="s">
        <v>47</v>
      </c>
      <c r="G6" s="2"/>
      <c r="H6" s="9" t="s">
        <v>48</v>
      </c>
      <c r="I6" s="13" t="s">
        <v>48</v>
      </c>
      <c r="J6" s="14">
        <v>1</v>
      </c>
      <c r="K6" s="7" t="s">
        <v>46</v>
      </c>
      <c r="L6" s="8" t="s">
        <v>49</v>
      </c>
    </row>
    <row r="7" spans="1:12" x14ac:dyDescent="0.15">
      <c r="A7" s="5" t="s">
        <v>50</v>
      </c>
      <c r="B7" s="5" t="s">
        <v>51</v>
      </c>
      <c r="C7" s="5" t="s">
        <v>52</v>
      </c>
      <c r="D7" s="6">
        <f t="shared" si="0"/>
        <v>1</v>
      </c>
      <c r="E7" s="7" t="s">
        <v>53</v>
      </c>
      <c r="F7" s="8" t="s">
        <v>54</v>
      </c>
      <c r="G7" s="2"/>
      <c r="H7" s="10" t="s">
        <v>55</v>
      </c>
      <c r="I7" s="15" t="s">
        <v>56</v>
      </c>
      <c r="J7" s="14">
        <v>1</v>
      </c>
      <c r="K7" s="7" t="s">
        <v>57</v>
      </c>
      <c r="L7" s="8" t="s">
        <v>58</v>
      </c>
    </row>
    <row r="8" spans="1:12" x14ac:dyDescent="0.15">
      <c r="A8" s="5" t="s">
        <v>59</v>
      </c>
      <c r="B8" s="5" t="s">
        <v>60</v>
      </c>
      <c r="C8" s="5" t="s">
        <v>61</v>
      </c>
      <c r="D8" s="6">
        <f t="shared" si="0"/>
        <v>1</v>
      </c>
      <c r="E8" s="7" t="s">
        <v>62</v>
      </c>
      <c r="F8" s="8"/>
      <c r="G8" s="2"/>
      <c r="H8" s="10" t="s">
        <v>63</v>
      </c>
      <c r="I8" s="15" t="s">
        <v>64</v>
      </c>
      <c r="J8" s="14">
        <v>1</v>
      </c>
      <c r="K8" s="7" t="s">
        <v>65</v>
      </c>
      <c r="L8" s="8"/>
    </row>
    <row r="9" spans="1:12" x14ac:dyDescent="0.15">
      <c r="A9" s="5" t="s">
        <v>66</v>
      </c>
      <c r="B9" s="5" t="s">
        <v>67</v>
      </c>
      <c r="C9" s="5" t="s">
        <v>68</v>
      </c>
      <c r="D9" s="6">
        <f t="shared" si="0"/>
        <v>1</v>
      </c>
      <c r="E9" s="2"/>
      <c r="F9" s="2"/>
      <c r="G9" s="2"/>
      <c r="H9" s="10" t="s">
        <v>69</v>
      </c>
      <c r="I9" s="15" t="s">
        <v>70</v>
      </c>
      <c r="J9" s="14">
        <v>1</v>
      </c>
      <c r="K9" s="2"/>
      <c r="L9" s="2"/>
    </row>
    <row r="10" spans="1:12" x14ac:dyDescent="0.15">
      <c r="A10" s="5" t="s">
        <v>71</v>
      </c>
      <c r="B10" s="5" t="s">
        <v>72</v>
      </c>
      <c r="C10" s="5" t="s">
        <v>73</v>
      </c>
      <c r="D10" s="6">
        <f t="shared" si="0"/>
        <v>1</v>
      </c>
      <c r="E10" s="2"/>
      <c r="F10" s="2"/>
      <c r="G10" s="2"/>
      <c r="H10" s="10" t="s">
        <v>74</v>
      </c>
      <c r="I10" s="15" t="s">
        <v>75</v>
      </c>
      <c r="J10" s="14">
        <v>1</v>
      </c>
      <c r="K10" s="2"/>
      <c r="L10" s="2"/>
    </row>
    <row r="11" spans="1:12" x14ac:dyDescent="0.25">
      <c r="A11" s="5" t="s">
        <v>76</v>
      </c>
      <c r="B11" s="5" t="s">
        <v>77</v>
      </c>
      <c r="C11" s="5" t="s">
        <v>78</v>
      </c>
      <c r="D11" s="6">
        <f t="shared" si="0"/>
        <v>1</v>
      </c>
    </row>
    <row r="12" spans="1:12" x14ac:dyDescent="0.25">
      <c r="A12" s="5" t="s">
        <v>79</v>
      </c>
      <c r="B12" s="5" t="s">
        <v>80</v>
      </c>
      <c r="C12" s="5" t="s">
        <v>81</v>
      </c>
      <c r="D12" s="6">
        <f t="shared" si="0"/>
        <v>1</v>
      </c>
    </row>
    <row r="13" spans="1:12" x14ac:dyDescent="0.25">
      <c r="A13" s="5" t="s">
        <v>82</v>
      </c>
      <c r="B13" s="5" t="s">
        <v>83</v>
      </c>
      <c r="C13" s="5" t="s">
        <v>84</v>
      </c>
      <c r="D13" s="6">
        <f t="shared" si="0"/>
        <v>1</v>
      </c>
    </row>
    <row r="14" spans="1:12" x14ac:dyDescent="0.25">
      <c r="A14" s="5" t="s">
        <v>85</v>
      </c>
      <c r="B14" s="5" t="s">
        <v>86</v>
      </c>
      <c r="C14" s="5" t="s">
        <v>87</v>
      </c>
      <c r="D14" s="6">
        <f t="shared" si="0"/>
        <v>1</v>
      </c>
    </row>
    <row r="15" spans="1:12" x14ac:dyDescent="0.25">
      <c r="A15" s="5" t="s">
        <v>88</v>
      </c>
      <c r="B15" s="5" t="s">
        <v>89</v>
      </c>
      <c r="C15" s="5" t="s">
        <v>90</v>
      </c>
      <c r="D15" s="6">
        <f t="shared" si="0"/>
        <v>1</v>
      </c>
    </row>
    <row r="16" spans="1:12" x14ac:dyDescent="0.25">
      <c r="A16" s="5" t="s">
        <v>91</v>
      </c>
      <c r="B16" s="5" t="s">
        <v>92</v>
      </c>
      <c r="C16" s="5" t="s">
        <v>93</v>
      </c>
      <c r="D16" s="6">
        <f t="shared" si="0"/>
        <v>1</v>
      </c>
    </row>
    <row r="17" spans="1:4" x14ac:dyDescent="0.25">
      <c r="A17" s="5" t="s">
        <v>94</v>
      </c>
      <c r="B17" s="5" t="s">
        <v>95</v>
      </c>
      <c r="C17" s="5" t="s">
        <v>96</v>
      </c>
      <c r="D17" s="6">
        <f t="shared" si="0"/>
        <v>1</v>
      </c>
    </row>
    <row r="18" spans="1:4" x14ac:dyDescent="0.25">
      <c r="A18" s="5" t="s">
        <v>97</v>
      </c>
      <c r="B18" s="5" t="s">
        <v>98</v>
      </c>
      <c r="C18" s="5" t="s">
        <v>24</v>
      </c>
      <c r="D18" s="6">
        <f t="shared" ref="D18:D59" si="1">LEN(C18)</f>
        <v>1</v>
      </c>
    </row>
    <row r="19" spans="1:4" x14ac:dyDescent="0.25">
      <c r="A19" s="5" t="s">
        <v>99</v>
      </c>
      <c r="B19" s="5" t="s">
        <v>100</v>
      </c>
      <c r="C19" s="5" t="s">
        <v>37</v>
      </c>
      <c r="D19" s="6">
        <f t="shared" si="1"/>
        <v>1</v>
      </c>
    </row>
    <row r="20" spans="1:4" x14ac:dyDescent="0.25">
      <c r="A20" s="5" t="s">
        <v>101</v>
      </c>
      <c r="B20" s="5" t="s">
        <v>102</v>
      </c>
      <c r="C20" s="5" t="s">
        <v>52</v>
      </c>
      <c r="D20" s="6">
        <f t="shared" si="1"/>
        <v>1</v>
      </c>
    </row>
    <row r="21" spans="1:4" x14ac:dyDescent="0.25">
      <c r="A21" s="5" t="s">
        <v>103</v>
      </c>
      <c r="B21" s="5" t="s">
        <v>104</v>
      </c>
      <c r="C21" s="5" t="s">
        <v>87</v>
      </c>
      <c r="D21" s="6">
        <f t="shared" si="1"/>
        <v>1</v>
      </c>
    </row>
    <row r="22" spans="1:4" x14ac:dyDescent="0.25">
      <c r="A22" s="5" t="s">
        <v>105</v>
      </c>
      <c r="B22" s="5" t="s">
        <v>106</v>
      </c>
      <c r="C22" s="5" t="s">
        <v>37</v>
      </c>
      <c r="D22" s="6">
        <f t="shared" si="1"/>
        <v>1</v>
      </c>
    </row>
    <row r="23" spans="1:4" x14ac:dyDescent="0.25">
      <c r="A23" s="5" t="s">
        <v>107</v>
      </c>
      <c r="B23" s="5" t="s">
        <v>108</v>
      </c>
      <c r="C23" s="5" t="s">
        <v>37</v>
      </c>
      <c r="D23" s="6">
        <f t="shared" si="1"/>
        <v>1</v>
      </c>
    </row>
    <row r="24" spans="1:4" x14ac:dyDescent="0.15">
      <c r="A24" s="11" t="s">
        <v>109</v>
      </c>
      <c r="B24" s="12" t="s">
        <v>110</v>
      </c>
      <c r="C24" s="12"/>
      <c r="D24" s="6">
        <f t="shared" si="1"/>
        <v>0</v>
      </c>
    </row>
    <row r="25" spans="1:4" x14ac:dyDescent="0.25">
      <c r="A25" s="5" t="s">
        <v>111</v>
      </c>
      <c r="B25" s="5" t="s">
        <v>112</v>
      </c>
      <c r="C25" s="5" t="s">
        <v>113</v>
      </c>
      <c r="D25" s="6">
        <f t="shared" si="1"/>
        <v>1</v>
      </c>
    </row>
    <row r="26" spans="1:4" x14ac:dyDescent="0.15">
      <c r="A26" s="11" t="s">
        <v>114</v>
      </c>
      <c r="B26" s="12" t="s">
        <v>115</v>
      </c>
      <c r="C26" s="12" t="s">
        <v>113</v>
      </c>
      <c r="D26" s="6">
        <f t="shared" si="1"/>
        <v>1</v>
      </c>
    </row>
    <row r="27" spans="1:4" x14ac:dyDescent="0.25">
      <c r="A27" s="5" t="s">
        <v>116</v>
      </c>
      <c r="B27" s="5" t="s">
        <v>117</v>
      </c>
      <c r="C27" s="5" t="s">
        <v>113</v>
      </c>
      <c r="D27" s="6">
        <f t="shared" si="1"/>
        <v>1</v>
      </c>
    </row>
    <row r="28" spans="1:4" x14ac:dyDescent="0.25">
      <c r="A28" s="5" t="s">
        <v>118</v>
      </c>
      <c r="B28" s="5" t="s">
        <v>119</v>
      </c>
      <c r="C28" s="5" t="s">
        <v>113</v>
      </c>
      <c r="D28" s="6">
        <f t="shared" si="1"/>
        <v>1</v>
      </c>
    </row>
    <row r="29" spans="1:4" x14ac:dyDescent="0.25">
      <c r="A29" s="5" t="s">
        <v>120</v>
      </c>
      <c r="B29" s="5" t="s">
        <v>121</v>
      </c>
      <c r="C29" s="5" t="s">
        <v>113</v>
      </c>
      <c r="D29" s="6">
        <f t="shared" si="1"/>
        <v>1</v>
      </c>
    </row>
    <row r="30" spans="1:4" x14ac:dyDescent="0.25">
      <c r="A30" s="5" t="s">
        <v>122</v>
      </c>
      <c r="B30" s="5" t="s">
        <v>123</v>
      </c>
      <c r="C30" s="5" t="s">
        <v>113</v>
      </c>
      <c r="D30" s="6">
        <f t="shared" si="1"/>
        <v>1</v>
      </c>
    </row>
    <row r="31" spans="1:4" x14ac:dyDescent="0.15">
      <c r="A31" s="11" t="s">
        <v>124</v>
      </c>
      <c r="B31" s="12" t="s">
        <v>125</v>
      </c>
      <c r="C31" s="12" t="s">
        <v>113</v>
      </c>
      <c r="D31" s="6">
        <f t="shared" si="1"/>
        <v>1</v>
      </c>
    </row>
    <row r="32" spans="1:4" x14ac:dyDescent="0.25">
      <c r="A32" s="5" t="s">
        <v>126</v>
      </c>
      <c r="B32" s="5" t="s">
        <v>127</v>
      </c>
      <c r="C32" s="5" t="s">
        <v>113</v>
      </c>
      <c r="D32" s="6">
        <f t="shared" si="1"/>
        <v>1</v>
      </c>
    </row>
    <row r="33" spans="1:4" x14ac:dyDescent="0.25">
      <c r="A33" s="5" t="s">
        <v>128</v>
      </c>
      <c r="B33" s="5" t="s">
        <v>129</v>
      </c>
      <c r="C33" s="5" t="s">
        <v>113</v>
      </c>
      <c r="D33" s="6">
        <f t="shared" si="1"/>
        <v>1</v>
      </c>
    </row>
    <row r="34" spans="1:4" x14ac:dyDescent="0.15">
      <c r="A34" s="11" t="s">
        <v>130</v>
      </c>
      <c r="B34" s="5" t="s">
        <v>131</v>
      </c>
      <c r="C34" s="12" t="s">
        <v>113</v>
      </c>
      <c r="D34" s="6">
        <f t="shared" si="1"/>
        <v>1</v>
      </c>
    </row>
    <row r="35" spans="1:4" x14ac:dyDescent="0.25">
      <c r="A35" s="5" t="s">
        <v>132</v>
      </c>
      <c r="B35" s="5" t="s">
        <v>133</v>
      </c>
      <c r="C35" s="5" t="s">
        <v>113</v>
      </c>
      <c r="D35" s="6">
        <f t="shared" si="1"/>
        <v>1</v>
      </c>
    </row>
    <row r="36" spans="1:4" x14ac:dyDescent="0.25">
      <c r="A36" s="11" t="s">
        <v>134</v>
      </c>
      <c r="B36" s="5" t="s">
        <v>135</v>
      </c>
      <c r="C36" s="5" t="s">
        <v>113</v>
      </c>
      <c r="D36" s="6">
        <f t="shared" si="1"/>
        <v>1</v>
      </c>
    </row>
    <row r="37" spans="1:4" x14ac:dyDescent="0.15">
      <c r="A37" s="11" t="s">
        <v>136</v>
      </c>
      <c r="B37" s="5" t="s">
        <v>137</v>
      </c>
      <c r="C37" s="12" t="s">
        <v>113</v>
      </c>
      <c r="D37" s="6">
        <f t="shared" si="1"/>
        <v>1</v>
      </c>
    </row>
    <row r="38" spans="1:4" x14ac:dyDescent="0.25">
      <c r="A38" s="5" t="s">
        <v>138</v>
      </c>
      <c r="B38" s="5" t="s">
        <v>139</v>
      </c>
      <c r="C38" s="5" t="s">
        <v>113</v>
      </c>
      <c r="D38" s="6">
        <f t="shared" si="1"/>
        <v>1</v>
      </c>
    </row>
    <row r="39" spans="1:4" x14ac:dyDescent="0.25">
      <c r="A39" s="5" t="s">
        <v>140</v>
      </c>
      <c r="B39" s="5" t="s">
        <v>141</v>
      </c>
      <c r="C39" s="5" t="s">
        <v>113</v>
      </c>
      <c r="D39" s="6">
        <f t="shared" si="1"/>
        <v>1</v>
      </c>
    </row>
    <row r="40" spans="1:4" x14ac:dyDescent="0.25">
      <c r="A40" s="5" t="s">
        <v>142</v>
      </c>
      <c r="B40" s="5" t="s">
        <v>143</v>
      </c>
      <c r="C40" s="5" t="s">
        <v>113</v>
      </c>
      <c r="D40" s="6">
        <f t="shared" si="1"/>
        <v>1</v>
      </c>
    </row>
    <row r="41" spans="1:4" x14ac:dyDescent="0.15">
      <c r="A41" s="11" t="s">
        <v>144</v>
      </c>
      <c r="B41" s="5" t="s">
        <v>145</v>
      </c>
      <c r="C41" s="12" t="s">
        <v>113</v>
      </c>
      <c r="D41" s="6">
        <f t="shared" si="1"/>
        <v>1</v>
      </c>
    </row>
    <row r="42" spans="1:4" x14ac:dyDescent="0.25">
      <c r="A42" s="5" t="s">
        <v>146</v>
      </c>
      <c r="B42" s="5" t="s">
        <v>147</v>
      </c>
      <c r="C42" s="5" t="s">
        <v>113</v>
      </c>
      <c r="D42" s="6">
        <f t="shared" si="1"/>
        <v>1</v>
      </c>
    </row>
    <row r="43" spans="1:4" x14ac:dyDescent="0.25">
      <c r="A43" s="5" t="s">
        <v>148</v>
      </c>
      <c r="B43" s="5" t="s">
        <v>149</v>
      </c>
      <c r="C43" s="5" t="s">
        <v>113</v>
      </c>
      <c r="D43" s="6">
        <f t="shared" si="1"/>
        <v>1</v>
      </c>
    </row>
    <row r="44" spans="1:4" x14ac:dyDescent="0.15">
      <c r="A44" s="5" t="s">
        <v>150</v>
      </c>
      <c r="B44" s="5" t="s">
        <v>151</v>
      </c>
      <c r="C44" s="12"/>
      <c r="D44" s="6"/>
    </row>
    <row r="45" spans="1:4" x14ac:dyDescent="0.15">
      <c r="A45" s="5" t="s">
        <v>152</v>
      </c>
      <c r="B45" s="5" t="s">
        <v>153</v>
      </c>
      <c r="C45" s="12"/>
      <c r="D45" s="6"/>
    </row>
    <row r="46" spans="1:4" x14ac:dyDescent="0.15">
      <c r="A46" s="5" t="s">
        <v>154</v>
      </c>
      <c r="B46" s="5" t="s">
        <v>155</v>
      </c>
      <c r="C46" s="12"/>
      <c r="D46" s="6"/>
    </row>
    <row r="47" spans="1:4" x14ac:dyDescent="0.25">
      <c r="A47" s="5" t="s">
        <v>156</v>
      </c>
      <c r="B47" s="5" t="s">
        <v>157</v>
      </c>
      <c r="C47" s="5"/>
      <c r="D47" s="6"/>
    </row>
    <row r="48" spans="1:4" x14ac:dyDescent="0.25">
      <c r="A48" s="5" t="s">
        <v>158</v>
      </c>
      <c r="B48" s="5" t="s">
        <v>159</v>
      </c>
      <c r="C48" s="5"/>
      <c r="D48" s="6"/>
    </row>
    <row r="49" spans="1:4" x14ac:dyDescent="0.25">
      <c r="A49" s="5" t="s">
        <v>160</v>
      </c>
      <c r="B49" s="5" t="s">
        <v>161</v>
      </c>
      <c r="C49" s="5"/>
      <c r="D49" s="6"/>
    </row>
    <row r="50" spans="1:4" x14ac:dyDescent="0.25">
      <c r="A50" s="5" t="s">
        <v>162</v>
      </c>
      <c r="B50" s="5" t="s">
        <v>163</v>
      </c>
      <c r="C50" s="5" t="s">
        <v>163</v>
      </c>
      <c r="D50" s="6">
        <f t="shared" si="1"/>
        <v>1</v>
      </c>
    </row>
    <row r="51" spans="1:4" x14ac:dyDescent="0.25">
      <c r="A51" s="5" t="s">
        <v>164</v>
      </c>
      <c r="B51" s="5" t="s">
        <v>87</v>
      </c>
      <c r="C51" s="5" t="s">
        <v>87</v>
      </c>
      <c r="D51" s="6">
        <f t="shared" si="1"/>
        <v>1</v>
      </c>
    </row>
    <row r="52" spans="1:4" x14ac:dyDescent="0.15">
      <c r="A52" s="11" t="s">
        <v>55</v>
      </c>
      <c r="B52" s="16" t="s">
        <v>56</v>
      </c>
      <c r="C52" s="12" t="s">
        <v>24</v>
      </c>
      <c r="D52" s="6">
        <f t="shared" si="1"/>
        <v>1</v>
      </c>
    </row>
    <row r="53" spans="1:4" x14ac:dyDescent="0.15">
      <c r="A53" s="11" t="s">
        <v>63</v>
      </c>
      <c r="B53" s="16" t="s">
        <v>64</v>
      </c>
      <c r="C53" s="12" t="s">
        <v>37</v>
      </c>
      <c r="D53" s="6">
        <f t="shared" si="1"/>
        <v>1</v>
      </c>
    </row>
    <row r="54" spans="1:4" x14ac:dyDescent="0.15">
      <c r="A54" s="11" t="s">
        <v>69</v>
      </c>
      <c r="B54" s="16" t="s">
        <v>70</v>
      </c>
      <c r="C54" s="12" t="s">
        <v>52</v>
      </c>
      <c r="D54" s="6">
        <f t="shared" si="1"/>
        <v>1</v>
      </c>
    </row>
    <row r="55" spans="1:4" x14ac:dyDescent="0.15">
      <c r="A55" s="11" t="s">
        <v>165</v>
      </c>
      <c r="B55" s="16" t="s">
        <v>75</v>
      </c>
      <c r="C55" s="12" t="s">
        <v>113</v>
      </c>
      <c r="D55" s="6">
        <f t="shared" si="1"/>
        <v>1</v>
      </c>
    </row>
    <row r="56" spans="1:4" x14ac:dyDescent="0.15">
      <c r="A56" s="11" t="s">
        <v>166</v>
      </c>
      <c r="B56" s="12" t="s">
        <v>167</v>
      </c>
      <c r="C56" s="12" t="s">
        <v>24</v>
      </c>
      <c r="D56" s="6">
        <f t="shared" si="1"/>
        <v>1</v>
      </c>
    </row>
    <row r="57" spans="1:4" x14ac:dyDescent="0.15">
      <c r="A57" s="11" t="s">
        <v>168</v>
      </c>
      <c r="B57" s="12" t="s">
        <v>169</v>
      </c>
      <c r="C57" s="12" t="s">
        <v>37</v>
      </c>
      <c r="D57" s="6">
        <f t="shared" si="1"/>
        <v>1</v>
      </c>
    </row>
    <row r="58" spans="1:4" x14ac:dyDescent="0.15">
      <c r="A58" s="11" t="s">
        <v>170</v>
      </c>
      <c r="B58" s="12" t="s">
        <v>171</v>
      </c>
      <c r="C58" s="12" t="s">
        <v>52</v>
      </c>
      <c r="D58" s="6">
        <f t="shared" si="1"/>
        <v>1</v>
      </c>
    </row>
    <row r="59" spans="1:4" x14ac:dyDescent="0.15">
      <c r="A59" s="11" t="s">
        <v>172</v>
      </c>
      <c r="B59" s="12" t="s">
        <v>173</v>
      </c>
      <c r="C59" s="12" t="s">
        <v>87</v>
      </c>
      <c r="D59" s="6">
        <f t="shared" si="1"/>
        <v>1</v>
      </c>
    </row>
    <row r="60" spans="1:4" x14ac:dyDescent="0.25">
      <c r="A60" s="5" t="s">
        <v>174</v>
      </c>
      <c r="B60" s="5" t="s">
        <v>175</v>
      </c>
      <c r="C60" s="5" t="s">
        <v>52</v>
      </c>
      <c r="D60" s="6">
        <v>1</v>
      </c>
    </row>
    <row r="61" spans="1:4" x14ac:dyDescent="0.25">
      <c r="A61" s="5" t="s">
        <v>176</v>
      </c>
      <c r="B61" s="5" t="s">
        <v>177</v>
      </c>
      <c r="C61" s="5" t="s">
        <v>113</v>
      </c>
      <c r="D61" s="6">
        <v>1</v>
      </c>
    </row>
    <row r="62" spans="1:4" x14ac:dyDescent="0.25">
      <c r="A62" s="5" t="s">
        <v>178</v>
      </c>
      <c r="B62" s="5" t="s">
        <v>179</v>
      </c>
      <c r="C62" s="5" t="s">
        <v>24</v>
      </c>
      <c r="D62" s="6">
        <v>1</v>
      </c>
    </row>
  </sheetData>
  <sheetProtection algorithmName="SHA-512" hashValue="MaArqUG4D893zf6PAbPEZk1689Exj3YpniUyGkZlOderUC5Tzc7GVB4ZlDqvFwaMnsjLIHnZyj9An8MTp6mDig==" saltValue="PsOmPjwcYOmGV4YmWgn6gQ==" spinCount="100000" sheet="1" objects="1" scenarios="1" selectLockedCells="1" selectUnlockedCells="1"/>
  <mergeCells count="2">
    <mergeCell ref="E2:F2"/>
    <mergeCell ref="K2:L2"/>
  </mergeCells>
  <phoneticPr fontId="1" type="noConversion"/>
  <conditionalFormatting sqref="A3:A34">
    <cfRule type="duplicateValues" dxfId="31" priority="8"/>
  </conditionalFormatting>
  <conditionalFormatting sqref="A3:A35">
    <cfRule type="duplicateValues" dxfId="30" priority="7"/>
  </conditionalFormatting>
  <conditionalFormatting sqref="A37:A38 A43 A40:A41">
    <cfRule type="duplicateValues" dxfId="29" priority="10"/>
  </conditionalFormatting>
  <conditionalFormatting sqref="A39">
    <cfRule type="duplicateValues" dxfId="28" priority="5"/>
  </conditionalFormatting>
  <conditionalFormatting sqref="A42">
    <cfRule type="duplicateValues" dxfId="27" priority="6"/>
  </conditionalFormatting>
  <conditionalFormatting sqref="A44 A47:A49">
    <cfRule type="duplicateValues" dxfId="26" priority="9"/>
  </conditionalFormatting>
  <conditionalFormatting sqref="A45:A46">
    <cfRule type="duplicateValues" dxfId="25" priority="4"/>
  </conditionalFormatting>
  <conditionalFormatting sqref="A50">
    <cfRule type="duplicateValues" dxfId="24" priority="2"/>
  </conditionalFormatting>
  <conditionalFormatting sqref="A51:A59">
    <cfRule type="duplicateValues" dxfId="23" priority="3"/>
  </conditionalFormatting>
  <conditionalFormatting sqref="H7:H10">
    <cfRule type="duplicateValues" dxfId="2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01"/>
  <sheetViews>
    <sheetView zoomScale="85" zoomScaleNormal="85" workbookViewId="0">
      <pane ySplit="1" topLeftCell="A53" activePane="bottomLeft" state="frozen"/>
      <selection pane="bottomLeft" activeCell="K69" sqref="K69"/>
    </sheetView>
  </sheetViews>
  <sheetFormatPr defaultColWidth="8.69921875" defaultRowHeight="19.8" x14ac:dyDescent="0.25"/>
  <cols>
    <col min="1" max="1" width="38.09765625" style="19" customWidth="1"/>
    <col min="2" max="2" width="3.69921875" style="19" customWidth="1"/>
    <col min="3" max="3" width="19.8984375" style="19" customWidth="1"/>
    <col min="4" max="4" width="15.69921875" style="19" customWidth="1"/>
    <col min="5" max="5" width="11.8984375" style="19" customWidth="1"/>
    <col min="6" max="6" width="3.69921875" style="19" customWidth="1"/>
    <col min="7" max="7" width="21.19921875" style="19" customWidth="1"/>
    <col min="8" max="8" width="18.59765625" style="19" customWidth="1"/>
    <col min="9" max="9" width="3.69921875" style="19" customWidth="1"/>
    <col min="10" max="11" width="18.3984375" style="19" customWidth="1"/>
    <col min="12" max="12" width="3.69921875" style="19" customWidth="1"/>
    <col min="13" max="14" width="15.09765625" style="19" customWidth="1"/>
    <col min="15" max="16384" width="8.69921875" style="19"/>
  </cols>
  <sheetData>
    <row r="1" spans="1:14" s="82" customFormat="1" ht="24.6" customHeight="1" x14ac:dyDescent="0.25">
      <c r="A1" s="79" t="s">
        <v>308</v>
      </c>
      <c r="B1" s="80"/>
      <c r="C1" s="79" t="s">
        <v>309</v>
      </c>
      <c r="D1" s="79" t="s">
        <v>310</v>
      </c>
      <c r="E1" s="79" t="s">
        <v>311</v>
      </c>
      <c r="F1" s="79"/>
      <c r="G1" s="79" t="s">
        <v>378</v>
      </c>
      <c r="H1" s="79" t="s">
        <v>310</v>
      </c>
      <c r="I1" s="79"/>
      <c r="J1" s="79" t="s">
        <v>379</v>
      </c>
      <c r="K1" s="79" t="s">
        <v>310</v>
      </c>
      <c r="L1" s="81"/>
      <c r="M1" s="79" t="s">
        <v>312</v>
      </c>
      <c r="N1" s="79" t="s">
        <v>310</v>
      </c>
    </row>
    <row r="2" spans="1:14" x14ac:dyDescent="0.45">
      <c r="A2" s="83" t="s">
        <v>720</v>
      </c>
      <c r="B2" s="84"/>
      <c r="C2" s="141" t="s">
        <v>484</v>
      </c>
      <c r="D2" s="92" t="s">
        <v>485</v>
      </c>
      <c r="E2" s="142" t="s">
        <v>581</v>
      </c>
      <c r="F2" s="86"/>
      <c r="G2" s="85" t="s">
        <v>318</v>
      </c>
      <c r="H2" s="87" t="s">
        <v>319</v>
      </c>
      <c r="I2" s="86"/>
      <c r="J2" s="85" t="s">
        <v>337</v>
      </c>
      <c r="K2" s="88" t="s">
        <v>338</v>
      </c>
      <c r="L2" s="89"/>
      <c r="M2" s="90" t="s">
        <v>162</v>
      </c>
      <c r="N2" s="90" t="s">
        <v>163</v>
      </c>
    </row>
    <row r="3" spans="1:14" x14ac:dyDescent="0.45">
      <c r="A3" s="91" t="s">
        <v>721</v>
      </c>
      <c r="B3" s="84"/>
      <c r="C3" s="141" t="s">
        <v>488</v>
      </c>
      <c r="D3" s="92" t="s">
        <v>489</v>
      </c>
      <c r="E3" s="142" t="s">
        <v>583</v>
      </c>
      <c r="F3" s="86"/>
      <c r="G3" s="147" t="s">
        <v>180</v>
      </c>
      <c r="H3" s="148" t="s">
        <v>181</v>
      </c>
      <c r="I3" s="86"/>
      <c r="J3" s="141" t="s">
        <v>202</v>
      </c>
      <c r="K3" s="94" t="s">
        <v>203</v>
      </c>
      <c r="L3" s="95"/>
      <c r="M3" s="25" t="s">
        <v>164</v>
      </c>
      <c r="N3" s="25" t="s">
        <v>87</v>
      </c>
    </row>
    <row r="4" spans="1:14" x14ac:dyDescent="0.25">
      <c r="A4" s="91" t="s">
        <v>722</v>
      </c>
      <c r="B4" s="84"/>
      <c r="C4" s="141" t="s">
        <v>490</v>
      </c>
      <c r="D4" s="92" t="s">
        <v>491</v>
      </c>
      <c r="E4" s="142" t="s">
        <v>584</v>
      </c>
      <c r="F4" s="86"/>
      <c r="G4" s="147" t="s">
        <v>401</v>
      </c>
      <c r="H4" s="148" t="s">
        <v>402</v>
      </c>
      <c r="I4" s="86"/>
      <c r="J4" s="147" t="s">
        <v>619</v>
      </c>
      <c r="K4" s="25" t="s">
        <v>614</v>
      </c>
      <c r="L4" s="95"/>
      <c r="M4" s="25" t="s">
        <v>55</v>
      </c>
      <c r="N4" s="25" t="s">
        <v>56</v>
      </c>
    </row>
    <row r="5" spans="1:14" x14ac:dyDescent="0.25">
      <c r="A5" s="91" t="s">
        <v>723</v>
      </c>
      <c r="B5" s="84"/>
      <c r="C5" s="141" t="s">
        <v>486</v>
      </c>
      <c r="D5" s="92" t="s">
        <v>487</v>
      </c>
      <c r="E5" s="142" t="s">
        <v>582</v>
      </c>
      <c r="F5" s="86"/>
      <c r="G5" s="147" t="s">
        <v>393</v>
      </c>
      <c r="H5" s="148" t="s">
        <v>394</v>
      </c>
      <c r="I5" s="86"/>
      <c r="J5" s="147" t="s">
        <v>480</v>
      </c>
      <c r="K5" s="25" t="s">
        <v>481</v>
      </c>
      <c r="L5" s="95"/>
      <c r="M5" s="25" t="s">
        <v>63</v>
      </c>
      <c r="N5" s="25" t="s">
        <v>64</v>
      </c>
    </row>
    <row r="6" spans="1:14" x14ac:dyDescent="0.25">
      <c r="A6" s="91" t="s">
        <v>724</v>
      </c>
      <c r="B6" s="84"/>
      <c r="C6" s="92" t="s">
        <v>570</v>
      </c>
      <c r="D6" s="92" t="s">
        <v>23</v>
      </c>
      <c r="E6" s="92" t="s">
        <v>581</v>
      </c>
      <c r="F6" s="86"/>
      <c r="G6" s="147" t="s">
        <v>417</v>
      </c>
      <c r="H6" s="148" t="s">
        <v>418</v>
      </c>
      <c r="I6" s="86"/>
      <c r="J6" s="147" t="s">
        <v>939</v>
      </c>
      <c r="K6" s="25" t="s">
        <v>940</v>
      </c>
      <c r="L6" s="95"/>
      <c r="M6" s="25" t="s">
        <v>69</v>
      </c>
      <c r="N6" s="25" t="s">
        <v>70</v>
      </c>
    </row>
    <row r="7" spans="1:14" x14ac:dyDescent="0.25">
      <c r="A7" s="91" t="s">
        <v>725</v>
      </c>
      <c r="B7" s="84"/>
      <c r="C7" s="92" t="s">
        <v>572</v>
      </c>
      <c r="D7" s="92" t="s">
        <v>36</v>
      </c>
      <c r="E7" s="92" t="s">
        <v>583</v>
      </c>
      <c r="F7" s="86"/>
      <c r="G7" s="147" t="s">
        <v>434</v>
      </c>
      <c r="H7" s="148" t="s">
        <v>435</v>
      </c>
      <c r="I7" s="86"/>
      <c r="J7" s="147" t="s">
        <v>482</v>
      </c>
      <c r="K7" s="25" t="s">
        <v>483</v>
      </c>
      <c r="L7" s="95"/>
      <c r="M7" s="25" t="s">
        <v>165</v>
      </c>
      <c r="N7" s="25" t="s">
        <v>75</v>
      </c>
    </row>
    <row r="8" spans="1:14" x14ac:dyDescent="0.25">
      <c r="A8" s="93" t="s">
        <v>726</v>
      </c>
      <c r="B8" s="84"/>
      <c r="C8" s="92" t="s">
        <v>571</v>
      </c>
      <c r="D8" s="92" t="s">
        <v>51</v>
      </c>
      <c r="E8" s="92" t="s">
        <v>582</v>
      </c>
      <c r="F8" s="86"/>
      <c r="G8" s="147" t="s">
        <v>205</v>
      </c>
      <c r="H8" s="148" t="s">
        <v>206</v>
      </c>
      <c r="I8" s="86"/>
      <c r="J8" s="147" t="s">
        <v>941</v>
      </c>
      <c r="K8" s="25" t="s">
        <v>942</v>
      </c>
      <c r="L8" s="95"/>
      <c r="M8" s="25" t="s">
        <v>166</v>
      </c>
      <c r="N8" s="25" t="s">
        <v>167</v>
      </c>
    </row>
    <row r="9" spans="1:14" x14ac:dyDescent="0.25">
      <c r="A9" s="96" t="s">
        <v>727</v>
      </c>
      <c r="B9" s="84"/>
      <c r="C9" s="92" t="s">
        <v>596</v>
      </c>
      <c r="D9" s="92" t="s">
        <v>80</v>
      </c>
      <c r="E9" s="92" t="s">
        <v>613</v>
      </c>
      <c r="F9" s="86"/>
      <c r="G9" s="147" t="s">
        <v>405</v>
      </c>
      <c r="H9" s="148" t="s">
        <v>406</v>
      </c>
      <c r="I9" s="86"/>
      <c r="J9" s="147" t="s">
        <v>943</v>
      </c>
      <c r="K9" s="25" t="s">
        <v>944</v>
      </c>
      <c r="L9" s="95"/>
      <c r="M9" s="25" t="s">
        <v>168</v>
      </c>
      <c r="N9" s="25" t="s">
        <v>169</v>
      </c>
    </row>
    <row r="10" spans="1:14" x14ac:dyDescent="0.45">
      <c r="A10" s="96" t="s">
        <v>728</v>
      </c>
      <c r="B10" s="84"/>
      <c r="C10" s="92" t="s">
        <v>573</v>
      </c>
      <c r="D10" s="92" t="s">
        <v>86</v>
      </c>
      <c r="E10" s="92" t="s">
        <v>584</v>
      </c>
      <c r="F10" s="86"/>
      <c r="G10" s="147" t="s">
        <v>442</v>
      </c>
      <c r="H10" s="148" t="s">
        <v>443</v>
      </c>
      <c r="I10" s="86"/>
      <c r="J10" s="141" t="s">
        <v>339</v>
      </c>
      <c r="K10" s="94" t="s">
        <v>340</v>
      </c>
      <c r="L10" s="95"/>
      <c r="M10" s="25" t="s">
        <v>170</v>
      </c>
      <c r="N10" s="25" t="s">
        <v>171</v>
      </c>
    </row>
    <row r="11" spans="1:14" x14ac:dyDescent="0.45">
      <c r="A11" s="91" t="s">
        <v>729</v>
      </c>
      <c r="B11" s="84"/>
      <c r="C11" s="92" t="s">
        <v>575</v>
      </c>
      <c r="D11" s="92" t="s">
        <v>503</v>
      </c>
      <c r="E11" s="92" t="s">
        <v>583</v>
      </c>
      <c r="F11" s="86"/>
      <c r="G11" s="147" t="s">
        <v>419</v>
      </c>
      <c r="H11" s="148" t="s">
        <v>420</v>
      </c>
      <c r="I11" s="86"/>
      <c r="J11" s="141" t="s">
        <v>207</v>
      </c>
      <c r="K11" s="94" t="s">
        <v>208</v>
      </c>
      <c r="L11" s="95"/>
      <c r="M11" s="25" t="s">
        <v>172</v>
      </c>
      <c r="N11" s="25" t="s">
        <v>173</v>
      </c>
    </row>
    <row r="12" spans="1:14" x14ac:dyDescent="0.45">
      <c r="A12" s="91" t="s">
        <v>730</v>
      </c>
      <c r="B12" s="84"/>
      <c r="C12" s="141" t="s">
        <v>574</v>
      </c>
      <c r="D12" s="92" t="s">
        <v>108</v>
      </c>
      <c r="E12" s="142" t="s">
        <v>583</v>
      </c>
      <c r="F12" s="86"/>
      <c r="G12" s="147" t="s">
        <v>421</v>
      </c>
      <c r="H12" s="148" t="s">
        <v>422</v>
      </c>
      <c r="I12" s="86"/>
      <c r="J12" s="141" t="s">
        <v>454</v>
      </c>
      <c r="K12" s="152" t="s">
        <v>211</v>
      </c>
      <c r="L12" s="95"/>
      <c r="M12" s="25" t="s">
        <v>212</v>
      </c>
      <c r="N12" s="25" t="s">
        <v>27</v>
      </c>
    </row>
    <row r="13" spans="1:14" x14ac:dyDescent="0.45">
      <c r="A13" s="91" t="s">
        <v>731</v>
      </c>
      <c r="B13" s="84"/>
      <c r="C13" s="141" t="s">
        <v>542</v>
      </c>
      <c r="D13" s="92" t="s">
        <v>543</v>
      </c>
      <c r="E13" s="142" t="s">
        <v>583</v>
      </c>
      <c r="F13" s="86"/>
      <c r="G13" s="147" t="s">
        <v>423</v>
      </c>
      <c r="H13" s="148" t="s">
        <v>424</v>
      </c>
      <c r="I13" s="86"/>
      <c r="J13" s="141" t="s">
        <v>455</v>
      </c>
      <c r="K13" s="94" t="s">
        <v>214</v>
      </c>
      <c r="L13" s="95"/>
      <c r="M13" s="25" t="s">
        <v>215</v>
      </c>
      <c r="N13" s="25" t="s">
        <v>33</v>
      </c>
    </row>
    <row r="14" spans="1:14" x14ac:dyDescent="0.25">
      <c r="A14" s="91" t="s">
        <v>732</v>
      </c>
      <c r="B14" s="84"/>
      <c r="C14" s="141" t="s">
        <v>520</v>
      </c>
      <c r="D14" s="92" t="s">
        <v>112</v>
      </c>
      <c r="E14" s="142" t="s">
        <v>585</v>
      </c>
      <c r="F14" s="86"/>
      <c r="G14" s="147" t="s">
        <v>430</v>
      </c>
      <c r="H14" s="148" t="s">
        <v>431</v>
      </c>
      <c r="I14" s="86"/>
      <c r="J14" s="147" t="s">
        <v>465</v>
      </c>
      <c r="K14" s="25" t="s">
        <v>217</v>
      </c>
      <c r="L14" s="95"/>
      <c r="M14" s="25" t="s">
        <v>218</v>
      </c>
      <c r="N14" s="25" t="s">
        <v>48</v>
      </c>
    </row>
    <row r="15" spans="1:14" x14ac:dyDescent="0.25">
      <c r="A15" s="91" t="s">
        <v>733</v>
      </c>
      <c r="B15" s="84"/>
      <c r="C15" s="141" t="s">
        <v>500</v>
      </c>
      <c r="D15" s="92" t="s">
        <v>353</v>
      </c>
      <c r="E15" s="142" t="s">
        <v>582</v>
      </c>
      <c r="F15" s="86"/>
      <c r="G15" s="147" t="s">
        <v>425</v>
      </c>
      <c r="H15" s="148" t="s">
        <v>426</v>
      </c>
      <c r="I15" s="86"/>
      <c r="J15" s="147" t="s">
        <v>470</v>
      </c>
      <c r="K15" s="25" t="s">
        <v>471</v>
      </c>
      <c r="L15" s="95"/>
      <c r="M15" s="25" t="s">
        <v>223</v>
      </c>
      <c r="N15" s="25" t="s">
        <v>580</v>
      </c>
    </row>
    <row r="16" spans="1:14" x14ac:dyDescent="0.25">
      <c r="A16" s="91" t="s">
        <v>734</v>
      </c>
      <c r="B16" s="84"/>
      <c r="C16" s="92" t="s">
        <v>875</v>
      </c>
      <c r="D16" s="92" t="s">
        <v>876</v>
      </c>
      <c r="E16" s="92" t="s">
        <v>113</v>
      </c>
      <c r="F16" s="86"/>
      <c r="G16" s="147" t="s">
        <v>390</v>
      </c>
      <c r="H16" s="148" t="s">
        <v>320</v>
      </c>
      <c r="I16" s="86"/>
      <c r="J16" s="147" t="s">
        <v>620</v>
      </c>
      <c r="K16" s="25" t="s">
        <v>622</v>
      </c>
      <c r="L16" s="95"/>
      <c r="M16" s="25" t="s">
        <v>857</v>
      </c>
      <c r="N16" s="25" t="s">
        <v>858</v>
      </c>
    </row>
    <row r="17" spans="1:18" x14ac:dyDescent="0.25">
      <c r="A17" s="91" t="s">
        <v>735</v>
      </c>
      <c r="B17" s="84"/>
      <c r="C17" s="92" t="s">
        <v>612</v>
      </c>
      <c r="D17" s="92" t="s">
        <v>115</v>
      </c>
      <c r="E17" s="92" t="s">
        <v>585</v>
      </c>
      <c r="F17" s="86"/>
      <c r="G17" s="147" t="s">
        <v>321</v>
      </c>
      <c r="H17" s="148" t="s">
        <v>322</v>
      </c>
      <c r="I17" s="86"/>
      <c r="J17" s="147" t="s">
        <v>945</v>
      </c>
      <c r="K17" s="25" t="s">
        <v>946</v>
      </c>
      <c r="L17" s="95"/>
      <c r="M17" s="25" t="s">
        <v>859</v>
      </c>
      <c r="N17" s="25" t="s">
        <v>860</v>
      </c>
    </row>
    <row r="18" spans="1:18" x14ac:dyDescent="0.45">
      <c r="A18" s="91" t="s">
        <v>736</v>
      </c>
      <c r="B18" s="84"/>
      <c r="C18" s="92" t="s">
        <v>577</v>
      </c>
      <c r="D18" s="92" t="s">
        <v>555</v>
      </c>
      <c r="E18" s="92" t="s">
        <v>585</v>
      </c>
      <c r="F18" s="86"/>
      <c r="G18" s="141" t="s">
        <v>209</v>
      </c>
      <c r="H18" s="149" t="s">
        <v>210</v>
      </c>
      <c r="I18" s="86"/>
      <c r="J18" s="147" t="s">
        <v>854</v>
      </c>
      <c r="K18" s="25" t="s">
        <v>853</v>
      </c>
      <c r="L18" s="95"/>
      <c r="M18" s="25" t="s">
        <v>861</v>
      </c>
      <c r="N18" s="25" t="s">
        <v>862</v>
      </c>
    </row>
    <row r="19" spans="1:18" x14ac:dyDescent="0.45">
      <c r="A19" s="91" t="s">
        <v>737</v>
      </c>
      <c r="B19" s="84"/>
      <c r="C19" s="92" t="s">
        <v>877</v>
      </c>
      <c r="D19" s="92" t="s">
        <v>878</v>
      </c>
      <c r="E19" s="92" t="s">
        <v>113</v>
      </c>
      <c r="F19" s="86"/>
      <c r="G19" s="141" t="s">
        <v>381</v>
      </c>
      <c r="H19" s="149" t="s">
        <v>213</v>
      </c>
      <c r="I19" s="86"/>
      <c r="J19" s="143" t="s">
        <v>597</v>
      </c>
      <c r="K19" s="97" t="s">
        <v>598</v>
      </c>
      <c r="L19" s="95"/>
      <c r="M19" s="25" t="s">
        <v>863</v>
      </c>
      <c r="N19" s="25" t="s">
        <v>864</v>
      </c>
    </row>
    <row r="20" spans="1:18" x14ac:dyDescent="0.45">
      <c r="A20" s="91" t="s">
        <v>738</v>
      </c>
      <c r="B20" s="84"/>
      <c r="C20" s="92" t="s">
        <v>359</v>
      </c>
      <c r="D20" s="92" t="s">
        <v>360</v>
      </c>
      <c r="E20" s="92"/>
      <c r="F20" s="86"/>
      <c r="G20" s="141" t="s">
        <v>380</v>
      </c>
      <c r="H20" s="149" t="s">
        <v>216</v>
      </c>
      <c r="I20" s="86"/>
      <c r="J20" s="147" t="s">
        <v>947</v>
      </c>
      <c r="K20" s="25" t="s">
        <v>948</v>
      </c>
      <c r="L20" s="95"/>
      <c r="M20" s="25" t="s">
        <v>865</v>
      </c>
      <c r="N20" s="25" t="s">
        <v>866</v>
      </c>
    </row>
    <row r="21" spans="1:18" x14ac:dyDescent="0.45">
      <c r="A21" s="91" t="s">
        <v>739</v>
      </c>
      <c r="B21" s="84"/>
      <c r="C21" s="92" t="s">
        <v>568</v>
      </c>
      <c r="D21" s="92" t="s">
        <v>569</v>
      </c>
      <c r="E21" s="92"/>
      <c r="F21" s="86"/>
      <c r="G21" s="143" t="s">
        <v>693</v>
      </c>
      <c r="H21" s="144" t="s">
        <v>694</v>
      </c>
      <c r="I21" s="86"/>
      <c r="J21" s="143" t="s">
        <v>450</v>
      </c>
      <c r="K21" s="94" t="s">
        <v>189</v>
      </c>
      <c r="L21" s="95"/>
      <c r="M21" s="25" t="s">
        <v>867</v>
      </c>
      <c r="N21" s="25" t="s">
        <v>868</v>
      </c>
    </row>
    <row r="22" spans="1:18" x14ac:dyDescent="0.45">
      <c r="A22" s="91" t="s">
        <v>740</v>
      </c>
      <c r="B22" s="84"/>
      <c r="C22" s="92" t="s">
        <v>538</v>
      </c>
      <c r="D22" s="92" t="s">
        <v>539</v>
      </c>
      <c r="E22" s="92" t="s">
        <v>581</v>
      </c>
      <c r="F22" s="86"/>
      <c r="G22" s="147" t="s">
        <v>323</v>
      </c>
      <c r="H22" s="148" t="s">
        <v>324</v>
      </c>
      <c r="I22" s="86"/>
      <c r="J22" s="143" t="s">
        <v>191</v>
      </c>
      <c r="K22" s="94" t="s">
        <v>579</v>
      </c>
      <c r="L22" s="95"/>
      <c r="M22" s="25" t="s">
        <v>869</v>
      </c>
      <c r="N22" s="25" t="s">
        <v>870</v>
      </c>
    </row>
    <row r="23" spans="1:18" x14ac:dyDescent="0.45">
      <c r="A23" s="91" t="s">
        <v>741</v>
      </c>
      <c r="B23" s="84"/>
      <c r="C23" s="92" t="s">
        <v>540</v>
      </c>
      <c r="D23" s="92" t="s">
        <v>541</v>
      </c>
      <c r="E23" s="92" t="s">
        <v>583</v>
      </c>
      <c r="F23" s="86"/>
      <c r="G23" s="147" t="s">
        <v>325</v>
      </c>
      <c r="H23" s="148" t="s">
        <v>326</v>
      </c>
      <c r="I23" s="86"/>
      <c r="J23" s="141" t="s">
        <v>194</v>
      </c>
      <c r="K23" s="94" t="s">
        <v>195</v>
      </c>
      <c r="L23" s="95"/>
      <c r="M23" s="25" t="s">
        <v>871</v>
      </c>
      <c r="N23" s="25" t="s">
        <v>872</v>
      </c>
    </row>
    <row r="24" spans="1:18" x14ac:dyDescent="0.45">
      <c r="A24" s="91" t="s">
        <v>742</v>
      </c>
      <c r="B24" s="84"/>
      <c r="C24" s="92" t="s">
        <v>521</v>
      </c>
      <c r="D24" s="92" t="s">
        <v>354</v>
      </c>
      <c r="E24" s="92" t="s">
        <v>585</v>
      </c>
      <c r="F24" s="86"/>
      <c r="G24" s="141" t="s">
        <v>313</v>
      </c>
      <c r="H24" s="149" t="s">
        <v>204</v>
      </c>
      <c r="I24" s="86"/>
      <c r="J24" s="141" t="s">
        <v>198</v>
      </c>
      <c r="K24" s="94" t="s">
        <v>199</v>
      </c>
      <c r="L24" s="95"/>
      <c r="M24" s="25" t="s">
        <v>873</v>
      </c>
      <c r="N24" s="25" t="s">
        <v>874</v>
      </c>
      <c r="Q24" s="20"/>
      <c r="R24" s="20"/>
    </row>
    <row r="25" spans="1:18" x14ac:dyDescent="0.45">
      <c r="A25" s="91" t="s">
        <v>743</v>
      </c>
      <c r="B25" s="84"/>
      <c r="C25" s="92" t="s">
        <v>529</v>
      </c>
      <c r="D25" s="92" t="s">
        <v>363</v>
      </c>
      <c r="E25" s="92" t="s">
        <v>585</v>
      </c>
      <c r="F25" s="86"/>
      <c r="G25" s="147" t="s">
        <v>391</v>
      </c>
      <c r="H25" s="148" t="s">
        <v>392</v>
      </c>
      <c r="I25" s="86"/>
      <c r="J25" s="141" t="s">
        <v>221</v>
      </c>
      <c r="K25" s="94" t="s">
        <v>222</v>
      </c>
      <c r="L25" s="95"/>
      <c r="M25" s="25"/>
      <c r="N25" s="25"/>
    </row>
    <row r="26" spans="1:18" x14ac:dyDescent="0.25">
      <c r="A26" s="91" t="s">
        <v>744</v>
      </c>
      <c r="B26" s="84"/>
      <c r="C26" s="92" t="s">
        <v>610</v>
      </c>
      <c r="D26" s="92" t="s">
        <v>567</v>
      </c>
      <c r="E26" s="92" t="s">
        <v>585</v>
      </c>
      <c r="F26" s="86"/>
      <c r="G26" s="147" t="s">
        <v>411</v>
      </c>
      <c r="H26" s="148" t="s">
        <v>412</v>
      </c>
      <c r="I26" s="86"/>
      <c r="J26" s="147" t="s">
        <v>949</v>
      </c>
      <c r="K26" s="25" t="s">
        <v>950</v>
      </c>
      <c r="L26" s="95"/>
      <c r="M26" s="25"/>
      <c r="N26" s="25"/>
    </row>
    <row r="27" spans="1:18" x14ac:dyDescent="0.25">
      <c r="A27" s="91" t="s">
        <v>745</v>
      </c>
      <c r="B27" s="84"/>
      <c r="C27" s="92" t="s">
        <v>590</v>
      </c>
      <c r="D27" s="92" t="s">
        <v>591</v>
      </c>
      <c r="E27" s="92" t="s">
        <v>585</v>
      </c>
      <c r="F27" s="86"/>
      <c r="G27" s="147" t="s">
        <v>407</v>
      </c>
      <c r="H27" s="148" t="s">
        <v>408</v>
      </c>
      <c r="I27" s="86"/>
      <c r="J27" s="147" t="s">
        <v>474</v>
      </c>
      <c r="K27" s="25" t="s">
        <v>475</v>
      </c>
      <c r="L27" s="95"/>
      <c r="M27" s="25"/>
      <c r="N27" s="25"/>
    </row>
    <row r="28" spans="1:18" x14ac:dyDescent="0.25">
      <c r="A28" s="91" t="s">
        <v>746</v>
      </c>
      <c r="B28" s="84"/>
      <c r="C28" s="92" t="s">
        <v>879</v>
      </c>
      <c r="D28" s="92" t="s">
        <v>880</v>
      </c>
      <c r="E28" s="92" t="s">
        <v>113</v>
      </c>
      <c r="F28" s="86"/>
      <c r="G28" s="147" t="s">
        <v>413</v>
      </c>
      <c r="H28" s="148" t="s">
        <v>414</v>
      </c>
      <c r="I28" s="86"/>
      <c r="J28" s="147" t="s">
        <v>615</v>
      </c>
      <c r="K28" s="25" t="s">
        <v>616</v>
      </c>
      <c r="L28" s="95"/>
      <c r="M28" s="25"/>
      <c r="N28" s="25"/>
    </row>
    <row r="29" spans="1:18" x14ac:dyDescent="0.45">
      <c r="A29" s="91" t="s">
        <v>747</v>
      </c>
      <c r="B29" s="84"/>
      <c r="C29" s="92" t="s">
        <v>881</v>
      </c>
      <c r="D29" s="92" t="s">
        <v>882</v>
      </c>
      <c r="E29" s="92" t="s">
        <v>883</v>
      </c>
      <c r="F29" s="86"/>
      <c r="G29" s="147" t="s">
        <v>415</v>
      </c>
      <c r="H29" s="148" t="s">
        <v>416</v>
      </c>
      <c r="I29" s="86"/>
      <c r="J29" s="141" t="s">
        <v>226</v>
      </c>
      <c r="K29" s="94" t="s">
        <v>227</v>
      </c>
      <c r="L29" s="95"/>
      <c r="M29" s="98"/>
      <c r="N29" s="98"/>
    </row>
    <row r="30" spans="1:18" x14ac:dyDescent="0.25">
      <c r="A30" s="91" t="s">
        <v>748</v>
      </c>
      <c r="B30" s="84"/>
      <c r="C30" s="92" t="s">
        <v>691</v>
      </c>
      <c r="D30" s="92" t="s">
        <v>692</v>
      </c>
      <c r="E30" s="92" t="s">
        <v>581</v>
      </c>
      <c r="F30" s="86"/>
      <c r="G30" s="147" t="s">
        <v>327</v>
      </c>
      <c r="H30" s="148" t="s">
        <v>328</v>
      </c>
      <c r="I30" s="86"/>
      <c r="J30" s="147" t="s">
        <v>466</v>
      </c>
      <c r="K30" s="25" t="s">
        <v>467</v>
      </c>
      <c r="L30" s="95"/>
      <c r="M30" s="98"/>
      <c r="N30" s="98"/>
    </row>
    <row r="31" spans="1:18" x14ac:dyDescent="0.45">
      <c r="A31" s="91" t="s">
        <v>749</v>
      </c>
      <c r="B31" s="84"/>
      <c r="C31" s="92" t="s">
        <v>594</v>
      </c>
      <c r="D31" s="92" t="s">
        <v>595</v>
      </c>
      <c r="E31" s="92" t="s">
        <v>585</v>
      </c>
      <c r="F31" s="86"/>
      <c r="G31" s="147" t="s">
        <v>331</v>
      </c>
      <c r="H31" s="148" t="s">
        <v>332</v>
      </c>
      <c r="I31" s="86"/>
      <c r="J31" s="141" t="s">
        <v>229</v>
      </c>
      <c r="K31" s="94" t="s">
        <v>230</v>
      </c>
      <c r="L31" s="95"/>
      <c r="M31" s="98"/>
      <c r="N31" s="98"/>
    </row>
    <row r="32" spans="1:18" x14ac:dyDescent="0.45">
      <c r="A32" s="91" t="s">
        <v>750</v>
      </c>
      <c r="B32" s="84"/>
      <c r="C32" s="92" t="s">
        <v>508</v>
      </c>
      <c r="D32" s="92" t="s">
        <v>119</v>
      </c>
      <c r="E32" s="92" t="s">
        <v>585</v>
      </c>
      <c r="F32" s="86"/>
      <c r="G32" s="147" t="s">
        <v>333</v>
      </c>
      <c r="H32" s="148" t="s">
        <v>334</v>
      </c>
      <c r="I32" s="86"/>
      <c r="J32" s="143" t="s">
        <v>232</v>
      </c>
      <c r="K32" s="94" t="s">
        <v>233</v>
      </c>
      <c r="L32" s="95"/>
      <c r="M32" s="98"/>
      <c r="N32" s="98"/>
    </row>
    <row r="33" spans="1:17" x14ac:dyDescent="0.25">
      <c r="A33" s="91" t="s">
        <v>969</v>
      </c>
      <c r="B33" s="84"/>
      <c r="C33" s="92" t="s">
        <v>509</v>
      </c>
      <c r="D33" s="92" t="s">
        <v>121</v>
      </c>
      <c r="E33" s="92" t="s">
        <v>585</v>
      </c>
      <c r="F33" s="86"/>
      <c r="G33" s="147" t="s">
        <v>448</v>
      </c>
      <c r="H33" s="148" t="s">
        <v>449</v>
      </c>
      <c r="I33" s="86"/>
      <c r="J33" s="147" t="s">
        <v>236</v>
      </c>
      <c r="K33" s="25" t="s">
        <v>237</v>
      </c>
      <c r="L33" s="95"/>
      <c r="M33" s="98"/>
      <c r="N33" s="98"/>
    </row>
    <row r="34" spans="1:17" x14ac:dyDescent="0.25">
      <c r="A34" s="91" t="s">
        <v>751</v>
      </c>
      <c r="B34" s="84"/>
      <c r="C34" s="92" t="s">
        <v>553</v>
      </c>
      <c r="D34" s="92" t="s">
        <v>554</v>
      </c>
      <c r="E34" s="92" t="s">
        <v>585</v>
      </c>
      <c r="F34" s="86"/>
      <c r="G34" s="148" t="s">
        <v>905</v>
      </c>
      <c r="H34" s="148" t="s">
        <v>906</v>
      </c>
      <c r="I34" s="86"/>
      <c r="J34" s="147" t="s">
        <v>239</v>
      </c>
      <c r="K34" s="25" t="s">
        <v>240</v>
      </c>
      <c r="L34" s="95"/>
      <c r="M34" s="98"/>
      <c r="N34" s="98"/>
    </row>
    <row r="35" spans="1:17" x14ac:dyDescent="0.45">
      <c r="A35" s="91" t="s">
        <v>752</v>
      </c>
      <c r="B35" s="84"/>
      <c r="C35" s="92" t="s">
        <v>532</v>
      </c>
      <c r="D35" s="92" t="s">
        <v>533</v>
      </c>
      <c r="E35" s="92" t="s">
        <v>585</v>
      </c>
      <c r="F35" s="86"/>
      <c r="G35" s="148" t="s">
        <v>386</v>
      </c>
      <c r="H35" s="148" t="s">
        <v>188</v>
      </c>
      <c r="I35" s="86"/>
      <c r="J35" s="141" t="s">
        <v>460</v>
      </c>
      <c r="K35" s="94" t="s">
        <v>243</v>
      </c>
      <c r="L35" s="95"/>
      <c r="M35" s="98"/>
      <c r="N35" s="98"/>
    </row>
    <row r="36" spans="1:17" x14ac:dyDescent="0.25">
      <c r="A36" s="91" t="s">
        <v>753</v>
      </c>
      <c r="B36" s="84"/>
      <c r="C36" s="92" t="s">
        <v>884</v>
      </c>
      <c r="D36" s="92" t="s">
        <v>885</v>
      </c>
      <c r="E36" s="92" t="s">
        <v>883</v>
      </c>
      <c r="F36" s="86"/>
      <c r="G36" s="148" t="s">
        <v>907</v>
      </c>
      <c r="H36" s="148" t="s">
        <v>908</v>
      </c>
      <c r="I36" s="86"/>
      <c r="J36" s="147" t="s">
        <v>623</v>
      </c>
      <c r="K36" s="25" t="s">
        <v>624</v>
      </c>
      <c r="L36" s="95"/>
      <c r="M36" s="98"/>
      <c r="N36" s="98"/>
    </row>
    <row r="37" spans="1:17" x14ac:dyDescent="0.25">
      <c r="A37" s="91" t="s">
        <v>974</v>
      </c>
      <c r="B37" s="84"/>
      <c r="C37" s="92" t="s">
        <v>524</v>
      </c>
      <c r="D37" s="92" t="s">
        <v>525</v>
      </c>
      <c r="E37" s="92" t="s">
        <v>585</v>
      </c>
      <c r="F37" s="86"/>
      <c r="G37" s="148" t="s">
        <v>909</v>
      </c>
      <c r="H37" s="148" t="s">
        <v>910</v>
      </c>
      <c r="I37" s="86"/>
      <c r="J37" s="147" t="s">
        <v>472</v>
      </c>
      <c r="K37" s="25" t="s">
        <v>473</v>
      </c>
      <c r="L37" s="95"/>
      <c r="M37" s="98"/>
      <c r="N37" s="98"/>
    </row>
    <row r="38" spans="1:17" x14ac:dyDescent="0.25">
      <c r="A38" s="91" t="s">
        <v>754</v>
      </c>
      <c r="B38" s="84"/>
      <c r="C38" s="92" t="s">
        <v>361</v>
      </c>
      <c r="D38" s="92" t="s">
        <v>362</v>
      </c>
      <c r="E38" s="92" t="s">
        <v>585</v>
      </c>
      <c r="F38" s="86"/>
      <c r="G38" s="148" t="s">
        <v>697</v>
      </c>
      <c r="H38" s="148" t="s">
        <v>698</v>
      </c>
      <c r="I38" s="86"/>
      <c r="J38" s="141" t="s">
        <v>245</v>
      </c>
      <c r="K38" s="97" t="s">
        <v>246</v>
      </c>
      <c r="L38" s="95"/>
      <c r="M38" s="98"/>
      <c r="N38" s="98"/>
    </row>
    <row r="39" spans="1:17" x14ac:dyDescent="0.25">
      <c r="A39" s="91" t="s">
        <v>755</v>
      </c>
      <c r="B39" s="84"/>
      <c r="C39" s="92" t="s">
        <v>527</v>
      </c>
      <c r="D39" s="92" t="s">
        <v>131</v>
      </c>
      <c r="E39" s="92" t="s">
        <v>585</v>
      </c>
      <c r="F39" s="86"/>
      <c r="G39" s="148" t="s">
        <v>911</v>
      </c>
      <c r="H39" s="148" t="s">
        <v>912</v>
      </c>
      <c r="I39" s="86"/>
      <c r="J39" s="147" t="s">
        <v>951</v>
      </c>
      <c r="K39" s="25" t="s">
        <v>952</v>
      </c>
      <c r="L39" s="95"/>
      <c r="M39" s="98"/>
      <c r="N39" s="98"/>
      <c r="P39" s="140"/>
      <c r="Q39" s="140"/>
    </row>
    <row r="40" spans="1:17" x14ac:dyDescent="0.25">
      <c r="A40" s="91" t="s">
        <v>756</v>
      </c>
      <c r="B40" s="84"/>
      <c r="C40" s="92" t="s">
        <v>886</v>
      </c>
      <c r="D40" s="92" t="s">
        <v>887</v>
      </c>
      <c r="E40" s="92" t="s">
        <v>113</v>
      </c>
      <c r="F40" s="86"/>
      <c r="G40" s="148" t="s">
        <v>913</v>
      </c>
      <c r="H40" s="148" t="s">
        <v>914</v>
      </c>
      <c r="I40" s="86"/>
      <c r="J40" s="147" t="s">
        <v>953</v>
      </c>
      <c r="K40" s="25" t="s">
        <v>954</v>
      </c>
      <c r="L40" s="95"/>
      <c r="M40" s="98"/>
      <c r="N40" s="98"/>
      <c r="P40" s="140"/>
      <c r="Q40" s="140"/>
    </row>
    <row r="41" spans="1:17" x14ac:dyDescent="0.25">
      <c r="A41" s="91" t="s">
        <v>757</v>
      </c>
      <c r="B41" s="84"/>
      <c r="C41" s="92" t="s">
        <v>534</v>
      </c>
      <c r="D41" s="92" t="s">
        <v>535</v>
      </c>
      <c r="E41" s="92" t="s">
        <v>585</v>
      </c>
      <c r="F41" s="86"/>
      <c r="G41" s="148" t="s">
        <v>915</v>
      </c>
      <c r="H41" s="148" t="s">
        <v>916</v>
      </c>
      <c r="I41" s="86"/>
      <c r="J41" s="147" t="s">
        <v>463</v>
      </c>
      <c r="K41" s="25" t="s">
        <v>464</v>
      </c>
      <c r="L41" s="95"/>
      <c r="M41" s="98"/>
      <c r="N41" s="98"/>
      <c r="P41" s="140"/>
      <c r="Q41" s="140"/>
    </row>
    <row r="42" spans="1:17" x14ac:dyDescent="0.25">
      <c r="A42" s="91" t="s">
        <v>970</v>
      </c>
      <c r="B42" s="84"/>
      <c r="C42" s="92" t="s">
        <v>888</v>
      </c>
      <c r="D42" s="92" t="s">
        <v>889</v>
      </c>
      <c r="E42" s="92" t="s">
        <v>883</v>
      </c>
      <c r="F42" s="86"/>
      <c r="G42" s="148" t="s">
        <v>427</v>
      </c>
      <c r="H42" s="148" t="s">
        <v>428</v>
      </c>
      <c r="I42" s="86"/>
      <c r="J42" s="143" t="s">
        <v>599</v>
      </c>
      <c r="K42" s="97" t="s">
        <v>600</v>
      </c>
      <c r="L42" s="95"/>
      <c r="M42" s="98"/>
      <c r="N42" s="98"/>
      <c r="P42" s="140"/>
      <c r="Q42" s="140"/>
    </row>
    <row r="43" spans="1:17" x14ac:dyDescent="0.45">
      <c r="A43" s="91" t="s">
        <v>758</v>
      </c>
      <c r="B43" s="84"/>
      <c r="C43" s="92" t="s">
        <v>355</v>
      </c>
      <c r="D43" s="92" t="s">
        <v>356</v>
      </c>
      <c r="E43" s="92"/>
      <c r="F43" s="86"/>
      <c r="G43" s="148" t="s">
        <v>395</v>
      </c>
      <c r="H43" s="148" t="s">
        <v>396</v>
      </c>
      <c r="I43" s="86"/>
      <c r="J43" s="153" t="s">
        <v>251</v>
      </c>
      <c r="K43" s="105" t="s">
        <v>252</v>
      </c>
      <c r="L43" s="95"/>
      <c r="M43" s="98"/>
      <c r="N43" s="98"/>
    </row>
    <row r="44" spans="1:17" x14ac:dyDescent="0.45">
      <c r="A44" s="91" t="s">
        <v>759</v>
      </c>
      <c r="B44" s="84"/>
      <c r="C44" s="92" t="s">
        <v>357</v>
      </c>
      <c r="D44" s="92" t="s">
        <v>358</v>
      </c>
      <c r="E44" s="92"/>
      <c r="F44" s="86"/>
      <c r="G44" s="148" t="s">
        <v>699</v>
      </c>
      <c r="H44" s="148" t="s">
        <v>700</v>
      </c>
      <c r="I44" s="86"/>
      <c r="J44" s="141" t="s">
        <v>611</v>
      </c>
      <c r="K44" s="94" t="s">
        <v>461</v>
      </c>
      <c r="L44" s="95"/>
      <c r="M44" s="25"/>
      <c r="N44" s="25"/>
    </row>
    <row r="45" spans="1:17" x14ac:dyDescent="0.45">
      <c r="A45" s="91" t="s">
        <v>971</v>
      </c>
      <c r="B45" s="84"/>
      <c r="C45" s="92" t="s">
        <v>510</v>
      </c>
      <c r="D45" s="92" t="s">
        <v>511</v>
      </c>
      <c r="E45" s="92"/>
      <c r="F45" s="86"/>
      <c r="G45" s="148" t="s">
        <v>397</v>
      </c>
      <c r="H45" s="148" t="s">
        <v>398</v>
      </c>
      <c r="I45" s="86"/>
      <c r="J45" s="143" t="s">
        <v>255</v>
      </c>
      <c r="K45" s="94" t="s">
        <v>256</v>
      </c>
      <c r="L45" s="95"/>
      <c r="M45" s="25"/>
      <c r="N45" s="25"/>
    </row>
    <row r="46" spans="1:17" x14ac:dyDescent="0.25">
      <c r="A46" s="91" t="s">
        <v>760</v>
      </c>
      <c r="B46" s="84"/>
      <c r="C46" s="92" t="s">
        <v>890</v>
      </c>
      <c r="D46" s="92" t="s">
        <v>891</v>
      </c>
      <c r="E46" s="92" t="s">
        <v>883</v>
      </c>
      <c r="F46" s="86"/>
      <c r="G46" s="148" t="s">
        <v>917</v>
      </c>
      <c r="H46" s="148" t="s">
        <v>918</v>
      </c>
      <c r="I46" s="86"/>
      <c r="J46" s="147" t="s">
        <v>476</v>
      </c>
      <c r="K46" s="25" t="s">
        <v>477</v>
      </c>
      <c r="L46" s="95"/>
      <c r="M46" s="25"/>
      <c r="N46" s="25"/>
    </row>
    <row r="47" spans="1:17" x14ac:dyDescent="0.45">
      <c r="A47" s="91" t="s">
        <v>761</v>
      </c>
      <c r="B47" s="84"/>
      <c r="C47" s="92" t="s">
        <v>588</v>
      </c>
      <c r="D47" s="92" t="s">
        <v>589</v>
      </c>
      <c r="E47" s="92"/>
      <c r="F47" s="86"/>
      <c r="G47" s="148" t="s">
        <v>919</v>
      </c>
      <c r="H47" s="148" t="s">
        <v>920</v>
      </c>
      <c r="I47" s="86"/>
      <c r="J47" s="141" t="s">
        <v>259</v>
      </c>
      <c r="K47" s="94" t="s">
        <v>260</v>
      </c>
      <c r="L47" s="95"/>
      <c r="M47" s="25"/>
      <c r="N47" s="25"/>
    </row>
    <row r="48" spans="1:17" x14ac:dyDescent="0.25">
      <c r="A48" s="91" t="s">
        <v>762</v>
      </c>
      <c r="B48" s="84"/>
      <c r="C48" s="92" t="s">
        <v>892</v>
      </c>
      <c r="D48" s="92" t="s">
        <v>135</v>
      </c>
      <c r="E48" s="92" t="s">
        <v>113</v>
      </c>
      <c r="F48" s="86"/>
      <c r="G48" s="148" t="s">
        <v>701</v>
      </c>
      <c r="H48" s="148" t="s">
        <v>702</v>
      </c>
      <c r="I48" s="86"/>
      <c r="J48" s="147" t="s">
        <v>955</v>
      </c>
      <c r="K48" s="25" t="s">
        <v>956</v>
      </c>
      <c r="L48" s="95"/>
      <c r="M48" s="25"/>
      <c r="N48" s="25"/>
    </row>
    <row r="49" spans="1:14" x14ac:dyDescent="0.45">
      <c r="A49" s="91" t="s">
        <v>763</v>
      </c>
      <c r="B49" s="84"/>
      <c r="C49" s="92" t="s">
        <v>530</v>
      </c>
      <c r="D49" s="92" t="s">
        <v>531</v>
      </c>
      <c r="E49" s="92" t="s">
        <v>585</v>
      </c>
      <c r="F49" s="86"/>
      <c r="G49" s="148" t="s">
        <v>921</v>
      </c>
      <c r="H49" s="148" t="s">
        <v>922</v>
      </c>
      <c r="I49" s="86"/>
      <c r="J49" s="141" t="s">
        <v>262</v>
      </c>
      <c r="K49" s="94" t="s">
        <v>263</v>
      </c>
      <c r="L49" s="95"/>
      <c r="M49" s="25"/>
      <c r="N49" s="25"/>
    </row>
    <row r="50" spans="1:14" x14ac:dyDescent="0.25">
      <c r="A50" s="91" t="s">
        <v>764</v>
      </c>
      <c r="B50" s="84"/>
      <c r="C50" s="92" t="s">
        <v>893</v>
      </c>
      <c r="D50" s="92" t="s">
        <v>894</v>
      </c>
      <c r="E50" s="92" t="s">
        <v>883</v>
      </c>
      <c r="F50" s="86"/>
      <c r="G50" s="148" t="s">
        <v>923</v>
      </c>
      <c r="H50" s="148" t="s">
        <v>924</v>
      </c>
      <c r="I50" s="86"/>
      <c r="J50" s="143" t="s">
        <v>601</v>
      </c>
      <c r="K50" s="97" t="s">
        <v>602</v>
      </c>
      <c r="L50" s="95"/>
      <c r="M50" s="25"/>
      <c r="N50" s="25"/>
    </row>
    <row r="51" spans="1:14" x14ac:dyDescent="0.25">
      <c r="A51" s="91" t="s">
        <v>765</v>
      </c>
      <c r="B51" s="84"/>
      <c r="C51" s="92" t="s">
        <v>558</v>
      </c>
      <c r="D51" s="92" t="s">
        <v>559</v>
      </c>
      <c r="E51" s="92" t="s">
        <v>583</v>
      </c>
      <c r="F51" s="86"/>
      <c r="G51" s="148" t="s">
        <v>925</v>
      </c>
      <c r="H51" s="148" t="s">
        <v>926</v>
      </c>
      <c r="I51" s="86"/>
      <c r="J51" s="147" t="s">
        <v>621</v>
      </c>
      <c r="K51" s="25" t="s">
        <v>625</v>
      </c>
      <c r="L51" s="95"/>
      <c r="M51" s="25"/>
      <c r="N51" s="25"/>
    </row>
    <row r="52" spans="1:14" x14ac:dyDescent="0.25">
      <c r="A52" s="91" t="s">
        <v>766</v>
      </c>
      <c r="B52" s="84"/>
      <c r="C52" s="92" t="s">
        <v>522</v>
      </c>
      <c r="D52" s="92" t="s">
        <v>139</v>
      </c>
      <c r="E52" s="92" t="s">
        <v>585</v>
      </c>
      <c r="F52" s="86"/>
      <c r="G52" s="148" t="s">
        <v>703</v>
      </c>
      <c r="H52" s="148" t="s">
        <v>704</v>
      </c>
      <c r="I52" s="86"/>
      <c r="J52" s="147" t="s">
        <v>617</v>
      </c>
      <c r="K52" s="25" t="s">
        <v>618</v>
      </c>
      <c r="L52" s="95"/>
      <c r="M52" s="25"/>
      <c r="N52" s="25"/>
    </row>
    <row r="53" spans="1:14" x14ac:dyDescent="0.25">
      <c r="A53" s="91" t="s">
        <v>972</v>
      </c>
      <c r="B53" s="84"/>
      <c r="C53" s="92" t="s">
        <v>556</v>
      </c>
      <c r="D53" s="92" t="s">
        <v>557</v>
      </c>
      <c r="E53" s="92"/>
      <c r="F53" s="86"/>
      <c r="G53" s="148" t="s">
        <v>927</v>
      </c>
      <c r="H53" s="148" t="s">
        <v>928</v>
      </c>
      <c r="I53" s="86"/>
      <c r="J53" s="147" t="s">
        <v>957</v>
      </c>
      <c r="K53" s="25" t="s">
        <v>958</v>
      </c>
      <c r="L53" s="95"/>
      <c r="M53" s="25"/>
      <c r="N53" s="25"/>
    </row>
    <row r="54" spans="1:14" x14ac:dyDescent="0.45">
      <c r="A54" s="91" t="s">
        <v>767</v>
      </c>
      <c r="B54" s="84"/>
      <c r="C54" s="92" t="s">
        <v>895</v>
      </c>
      <c r="D54" s="92" t="s">
        <v>896</v>
      </c>
      <c r="E54" s="92" t="s">
        <v>52</v>
      </c>
      <c r="F54" s="86"/>
      <c r="G54" s="148" t="s">
        <v>929</v>
      </c>
      <c r="H54" s="148" t="s">
        <v>930</v>
      </c>
      <c r="I54" s="86"/>
      <c r="J54" s="145" t="s">
        <v>186</v>
      </c>
      <c r="K54" s="150" t="s">
        <v>187</v>
      </c>
      <c r="L54" s="95"/>
      <c r="M54" s="25"/>
      <c r="N54" s="25"/>
    </row>
    <row r="55" spans="1:14" x14ac:dyDescent="0.25">
      <c r="A55" s="91" t="s">
        <v>855</v>
      </c>
      <c r="B55" s="84"/>
      <c r="C55" s="92" t="s">
        <v>506</v>
      </c>
      <c r="D55" s="92" t="s">
        <v>507</v>
      </c>
      <c r="E55" s="92" t="s">
        <v>585</v>
      </c>
      <c r="F55" s="86"/>
      <c r="G55" s="148" t="s">
        <v>931</v>
      </c>
      <c r="H55" s="148" t="s">
        <v>932</v>
      </c>
      <c r="I55" s="86"/>
      <c r="J55" s="151" t="s">
        <v>959</v>
      </c>
      <c r="K55" s="151" t="s">
        <v>960</v>
      </c>
      <c r="L55" s="95"/>
      <c r="M55" s="25"/>
      <c r="N55" s="25"/>
    </row>
    <row r="56" spans="1:14" x14ac:dyDescent="0.25">
      <c r="A56" s="91" t="s">
        <v>768</v>
      </c>
      <c r="B56" s="84"/>
      <c r="C56" s="92" t="s">
        <v>504</v>
      </c>
      <c r="D56" s="92" t="s">
        <v>505</v>
      </c>
      <c r="E56" s="92" t="s">
        <v>582</v>
      </c>
      <c r="F56" s="86"/>
      <c r="G56" s="148" t="s">
        <v>219</v>
      </c>
      <c r="H56" s="148" t="s">
        <v>220</v>
      </c>
      <c r="I56" s="86"/>
      <c r="J56" s="151" t="s">
        <v>961</v>
      </c>
      <c r="K56" s="151" t="s">
        <v>962</v>
      </c>
      <c r="L56" s="95"/>
      <c r="M56" s="25"/>
      <c r="N56" s="25"/>
    </row>
    <row r="57" spans="1:14" x14ac:dyDescent="0.45">
      <c r="A57" s="91" t="s">
        <v>769</v>
      </c>
      <c r="B57" s="84"/>
      <c r="C57" s="92" t="s">
        <v>562</v>
      </c>
      <c r="D57" s="92" t="s">
        <v>141</v>
      </c>
      <c r="E57" s="92" t="s">
        <v>585</v>
      </c>
      <c r="F57" s="86"/>
      <c r="G57" s="148" t="s">
        <v>224</v>
      </c>
      <c r="H57" s="148" t="s">
        <v>225</v>
      </c>
      <c r="I57" s="86"/>
      <c r="J57" s="141" t="s">
        <v>268</v>
      </c>
      <c r="K57" s="94" t="s">
        <v>269</v>
      </c>
      <c r="L57" s="95"/>
      <c r="M57" s="25"/>
      <c r="N57" s="25"/>
    </row>
    <row r="58" spans="1:14" x14ac:dyDescent="0.25">
      <c r="A58" s="91" t="s">
        <v>770</v>
      </c>
      <c r="B58" s="84"/>
      <c r="C58" s="92" t="s">
        <v>560</v>
      </c>
      <c r="D58" s="92" t="s">
        <v>561</v>
      </c>
      <c r="E58" s="92"/>
      <c r="F58" s="86"/>
      <c r="G58" s="148" t="s">
        <v>933</v>
      </c>
      <c r="H58" s="148" t="s">
        <v>934</v>
      </c>
      <c r="I58" s="86"/>
      <c r="J58" s="147" t="s">
        <v>272</v>
      </c>
      <c r="K58" s="25" t="s">
        <v>273</v>
      </c>
      <c r="L58" s="95"/>
      <c r="M58" s="25"/>
      <c r="N58" s="25"/>
    </row>
    <row r="59" spans="1:14" x14ac:dyDescent="0.25">
      <c r="A59" s="91" t="s">
        <v>973</v>
      </c>
      <c r="B59" s="84"/>
      <c r="C59" s="92" t="s">
        <v>492</v>
      </c>
      <c r="D59" s="92" t="s">
        <v>493</v>
      </c>
      <c r="E59" s="92" t="s">
        <v>581</v>
      </c>
      <c r="F59" s="86"/>
      <c r="G59" s="148" t="s">
        <v>335</v>
      </c>
      <c r="H59" s="148" t="s">
        <v>336</v>
      </c>
      <c r="I59" s="86"/>
      <c r="J59" s="147" t="s">
        <v>329</v>
      </c>
      <c r="K59" s="25" t="s">
        <v>330</v>
      </c>
      <c r="L59" s="95"/>
      <c r="M59" s="25"/>
      <c r="N59" s="25"/>
    </row>
    <row r="60" spans="1:14" x14ac:dyDescent="0.25">
      <c r="A60" s="91" t="s">
        <v>771</v>
      </c>
      <c r="B60" s="84"/>
      <c r="C60" s="92" t="s">
        <v>496</v>
      </c>
      <c r="D60" s="92" t="s">
        <v>497</v>
      </c>
      <c r="E60" s="92" t="s">
        <v>583</v>
      </c>
      <c r="F60" s="86"/>
      <c r="G60" s="148" t="s">
        <v>200</v>
      </c>
      <c r="H60" s="148" t="s">
        <v>201</v>
      </c>
      <c r="I60" s="86"/>
      <c r="J60" s="147" t="s">
        <v>626</v>
      </c>
      <c r="K60" s="25" t="s">
        <v>627</v>
      </c>
      <c r="L60" s="95"/>
      <c r="M60" s="25"/>
      <c r="N60" s="25"/>
    </row>
    <row r="61" spans="1:14" x14ac:dyDescent="0.45">
      <c r="A61" s="91" t="s">
        <v>772</v>
      </c>
      <c r="B61" s="84"/>
      <c r="C61" s="92" t="s">
        <v>494</v>
      </c>
      <c r="D61" s="92" t="s">
        <v>495</v>
      </c>
      <c r="E61" s="92" t="s">
        <v>582</v>
      </c>
      <c r="F61" s="86"/>
      <c r="G61" s="148" t="s">
        <v>603</v>
      </c>
      <c r="H61" s="148" t="s">
        <v>604</v>
      </c>
      <c r="I61" s="86"/>
      <c r="J61" s="141" t="s">
        <v>275</v>
      </c>
      <c r="K61" s="94" t="s">
        <v>276</v>
      </c>
      <c r="L61" s="95"/>
      <c r="M61" s="25"/>
      <c r="N61" s="25"/>
    </row>
    <row r="62" spans="1:14" x14ac:dyDescent="0.25">
      <c r="A62" s="91" t="s">
        <v>773</v>
      </c>
      <c r="B62" s="84"/>
      <c r="C62" s="92" t="s">
        <v>498</v>
      </c>
      <c r="D62" s="92" t="s">
        <v>499</v>
      </c>
      <c r="E62" s="92" t="s">
        <v>584</v>
      </c>
      <c r="F62" s="86"/>
      <c r="G62" s="148" t="s">
        <v>436</v>
      </c>
      <c r="H62" s="148" t="s">
        <v>437</v>
      </c>
      <c r="I62" s="86"/>
      <c r="J62" s="147" t="s">
        <v>705</v>
      </c>
      <c r="K62" s="25" t="s">
        <v>706</v>
      </c>
      <c r="L62" s="95"/>
      <c r="M62" s="25"/>
      <c r="N62" s="25"/>
    </row>
    <row r="63" spans="1:14" x14ac:dyDescent="0.25">
      <c r="A63" s="91" t="s">
        <v>774</v>
      </c>
      <c r="B63" s="84"/>
      <c r="C63" s="92" t="s">
        <v>689</v>
      </c>
      <c r="D63" s="92" t="s">
        <v>690</v>
      </c>
      <c r="E63" s="92" t="s">
        <v>581</v>
      </c>
      <c r="F63" s="86"/>
      <c r="G63" s="148" t="s">
        <v>438</v>
      </c>
      <c r="H63" s="148" t="s">
        <v>439</v>
      </c>
      <c r="I63" s="86"/>
      <c r="J63" s="147" t="s">
        <v>963</v>
      </c>
      <c r="K63" s="25" t="s">
        <v>964</v>
      </c>
      <c r="L63" s="95"/>
      <c r="M63" s="25"/>
      <c r="N63" s="25"/>
    </row>
    <row r="64" spans="1:14" x14ac:dyDescent="0.25">
      <c r="A64" s="91" t="s">
        <v>856</v>
      </c>
      <c r="B64" s="84"/>
      <c r="C64" s="92" t="s">
        <v>501</v>
      </c>
      <c r="D64" s="92" t="s">
        <v>502</v>
      </c>
      <c r="E64" s="92" t="s">
        <v>581</v>
      </c>
      <c r="F64" s="86"/>
      <c r="G64" s="148" t="s">
        <v>440</v>
      </c>
      <c r="H64" s="148" t="s">
        <v>441</v>
      </c>
      <c r="I64" s="86"/>
      <c r="J64" s="147" t="s">
        <v>975</v>
      </c>
      <c r="K64" s="25" t="s">
        <v>707</v>
      </c>
      <c r="L64" s="95"/>
      <c r="M64" s="25"/>
      <c r="N64" s="25"/>
    </row>
    <row r="65" spans="1:14" x14ac:dyDescent="0.45">
      <c r="A65" s="91" t="s">
        <v>775</v>
      </c>
      <c r="B65" s="84"/>
      <c r="C65" s="92" t="s">
        <v>551</v>
      </c>
      <c r="D65" s="92" t="s">
        <v>552</v>
      </c>
      <c r="E65" s="92" t="s">
        <v>585</v>
      </c>
      <c r="F65" s="86"/>
      <c r="G65" s="148" t="s">
        <v>387</v>
      </c>
      <c r="H65" s="148" t="s">
        <v>388</v>
      </c>
      <c r="I65" s="86"/>
      <c r="J65" s="141" t="s">
        <v>976</v>
      </c>
      <c r="K65" s="152" t="s">
        <v>977</v>
      </c>
      <c r="L65" s="95"/>
      <c r="M65" s="25"/>
      <c r="N65" s="25"/>
    </row>
    <row r="66" spans="1:14" x14ac:dyDescent="0.45">
      <c r="A66" s="91" t="s">
        <v>776</v>
      </c>
      <c r="B66" s="84"/>
      <c r="C66" s="92" t="s">
        <v>565</v>
      </c>
      <c r="D66" s="92" t="s">
        <v>566</v>
      </c>
      <c r="E66" s="92"/>
      <c r="F66" s="86"/>
      <c r="G66" s="148" t="s">
        <v>714</v>
      </c>
      <c r="H66" s="148" t="s">
        <v>715</v>
      </c>
      <c r="I66" s="86"/>
      <c r="J66" s="141" t="s">
        <v>280</v>
      </c>
      <c r="K66" s="152" t="s">
        <v>281</v>
      </c>
      <c r="L66" s="95"/>
      <c r="M66" s="25"/>
      <c r="N66" s="25"/>
    </row>
    <row r="67" spans="1:14" x14ac:dyDescent="0.45">
      <c r="A67" s="91" t="s">
        <v>777</v>
      </c>
      <c r="B67" s="84"/>
      <c r="C67" s="92" t="s">
        <v>897</v>
      </c>
      <c r="D67" s="92" t="s">
        <v>898</v>
      </c>
      <c r="E67" s="92" t="str">
        <f>VLOOKUP(C67,[1]com_modificationBasisList!$D:$F,3,FALSE)</f>
        <v>T</v>
      </c>
      <c r="F67" s="86"/>
      <c r="G67" s="148" t="s">
        <v>385</v>
      </c>
      <c r="H67" s="148" t="s">
        <v>228</v>
      </c>
      <c r="I67" s="86"/>
      <c r="J67" s="141" t="s">
        <v>456</v>
      </c>
      <c r="K67" s="152" t="s">
        <v>282</v>
      </c>
      <c r="L67" s="95"/>
      <c r="M67" s="25"/>
      <c r="N67" s="25"/>
    </row>
    <row r="68" spans="1:14" x14ac:dyDescent="0.45">
      <c r="A68" s="91" t="s">
        <v>778</v>
      </c>
      <c r="B68" s="84"/>
      <c r="C68" s="92" t="s">
        <v>899</v>
      </c>
      <c r="D68" s="92" t="s">
        <v>900</v>
      </c>
      <c r="E68" s="92" t="str">
        <f>VLOOKUP(C68,[1]com_modificationBasisList!$D:$F,3,FALSE)</f>
        <v/>
      </c>
      <c r="F68" s="86"/>
      <c r="G68" s="148" t="s">
        <v>399</v>
      </c>
      <c r="H68" s="148" t="s">
        <v>400</v>
      </c>
      <c r="I68" s="86"/>
      <c r="J68" s="141" t="s">
        <v>457</v>
      </c>
      <c r="K68" s="152" t="s">
        <v>458</v>
      </c>
      <c r="L68" s="95"/>
      <c r="M68" s="25"/>
      <c r="N68" s="25"/>
    </row>
    <row r="69" spans="1:14" x14ac:dyDescent="0.25">
      <c r="A69" s="91" t="s">
        <v>779</v>
      </c>
      <c r="B69" s="84"/>
      <c r="C69" s="92" t="s">
        <v>563</v>
      </c>
      <c r="D69" s="92" t="s">
        <v>564</v>
      </c>
      <c r="E69" s="92"/>
      <c r="F69" s="86"/>
      <c r="G69" s="148" t="s">
        <v>196</v>
      </c>
      <c r="H69" s="148" t="s">
        <v>197</v>
      </c>
      <c r="I69" s="86"/>
      <c r="J69" s="154" t="s">
        <v>716</v>
      </c>
      <c r="K69" s="147" t="s">
        <v>717</v>
      </c>
      <c r="L69" s="95"/>
      <c r="M69" s="25"/>
      <c r="N69" s="25"/>
    </row>
    <row r="70" spans="1:14" x14ac:dyDescent="0.45">
      <c r="A70" s="91" t="s">
        <v>780</v>
      </c>
      <c r="B70" s="84"/>
      <c r="C70" s="92" t="s">
        <v>592</v>
      </c>
      <c r="D70" s="92" t="s">
        <v>593</v>
      </c>
      <c r="E70" s="92" t="s">
        <v>585</v>
      </c>
      <c r="F70" s="86"/>
      <c r="G70" s="148" t="s">
        <v>192</v>
      </c>
      <c r="H70" s="148" t="s">
        <v>193</v>
      </c>
      <c r="I70" s="86"/>
      <c r="J70" s="141" t="s">
        <v>366</v>
      </c>
      <c r="K70" s="152" t="s">
        <v>182</v>
      </c>
      <c r="L70" s="95"/>
      <c r="M70" s="25"/>
      <c r="N70" s="25"/>
    </row>
    <row r="71" spans="1:14" x14ac:dyDescent="0.45">
      <c r="A71" s="91" t="s">
        <v>781</v>
      </c>
      <c r="B71" s="84"/>
      <c r="C71" s="92" t="s">
        <v>901</v>
      </c>
      <c r="D71" s="92" t="s">
        <v>902</v>
      </c>
      <c r="E71" s="92" t="str">
        <f>VLOOKUP(C71,[1]com_modificationBasisList!$D:$F,3,FALSE)</f>
        <v/>
      </c>
      <c r="F71" s="86"/>
      <c r="G71" s="148" t="s">
        <v>978</v>
      </c>
      <c r="H71" s="148" t="s">
        <v>979</v>
      </c>
      <c r="I71" s="86"/>
      <c r="J71" s="141" t="s">
        <v>451</v>
      </c>
      <c r="K71" s="152" t="s">
        <v>185</v>
      </c>
      <c r="L71" s="95"/>
      <c r="M71" s="25"/>
      <c r="N71" s="25"/>
    </row>
    <row r="72" spans="1:14" x14ac:dyDescent="0.25">
      <c r="A72" s="91" t="s">
        <v>782</v>
      </c>
      <c r="B72" s="84"/>
      <c r="C72" s="92" t="s">
        <v>523</v>
      </c>
      <c r="D72" s="92" t="s">
        <v>143</v>
      </c>
      <c r="E72" s="92" t="s">
        <v>585</v>
      </c>
      <c r="F72" s="99"/>
      <c r="G72" s="148" t="s">
        <v>231</v>
      </c>
      <c r="H72" s="148" t="s">
        <v>980</v>
      </c>
      <c r="I72" s="99"/>
      <c r="J72" s="147" t="s">
        <v>478</v>
      </c>
      <c r="K72" s="147" t="s">
        <v>479</v>
      </c>
      <c r="L72" s="100"/>
      <c r="M72" s="98"/>
      <c r="N72" s="98"/>
    </row>
    <row r="73" spans="1:14" x14ac:dyDescent="0.45">
      <c r="A73" s="91" t="s">
        <v>783</v>
      </c>
      <c r="B73" s="84"/>
      <c r="C73" s="92" t="s">
        <v>519</v>
      </c>
      <c r="D73" s="92" t="s">
        <v>153</v>
      </c>
      <c r="E73" s="92"/>
      <c r="F73" s="99"/>
      <c r="G73" s="148" t="s">
        <v>234</v>
      </c>
      <c r="H73" s="148" t="s">
        <v>235</v>
      </c>
      <c r="I73" s="99"/>
      <c r="J73" s="141" t="s">
        <v>452</v>
      </c>
      <c r="K73" s="152" t="s">
        <v>453</v>
      </c>
      <c r="L73" s="100"/>
      <c r="M73" s="98"/>
      <c r="N73" s="98"/>
    </row>
    <row r="74" spans="1:14" x14ac:dyDescent="0.45">
      <c r="A74" s="93" t="s">
        <v>784</v>
      </c>
      <c r="B74" s="84"/>
      <c r="C74" s="92" t="s">
        <v>516</v>
      </c>
      <c r="D74" s="92" t="s">
        <v>155</v>
      </c>
      <c r="E74" s="92"/>
      <c r="F74" s="99"/>
      <c r="G74" s="148" t="s">
        <v>382</v>
      </c>
      <c r="H74" s="148" t="s">
        <v>238</v>
      </c>
      <c r="I74" s="99"/>
      <c r="J74" s="141" t="s">
        <v>283</v>
      </c>
      <c r="K74" s="152" t="s">
        <v>459</v>
      </c>
      <c r="L74" s="100"/>
      <c r="M74" s="98"/>
      <c r="N74" s="98"/>
    </row>
    <row r="75" spans="1:14" x14ac:dyDescent="0.25">
      <c r="A75" s="91" t="s">
        <v>785</v>
      </c>
      <c r="B75" s="84"/>
      <c r="C75" s="92" t="s">
        <v>517</v>
      </c>
      <c r="D75" s="92" t="s">
        <v>518</v>
      </c>
      <c r="E75" s="92"/>
      <c r="F75" s="99"/>
      <c r="G75" s="148" t="s">
        <v>341</v>
      </c>
      <c r="H75" s="148" t="s">
        <v>342</v>
      </c>
      <c r="I75" s="99"/>
      <c r="J75" s="147" t="s">
        <v>468</v>
      </c>
      <c r="K75" s="147" t="s">
        <v>469</v>
      </c>
      <c r="L75" s="100"/>
      <c r="M75" s="98"/>
      <c r="N75" s="98"/>
    </row>
    <row r="76" spans="1:14" x14ac:dyDescent="0.25">
      <c r="A76" s="91" t="s">
        <v>786</v>
      </c>
      <c r="B76" s="84"/>
      <c r="C76" s="92" t="s">
        <v>512</v>
      </c>
      <c r="D76" s="92" t="s">
        <v>513</v>
      </c>
      <c r="E76" s="92"/>
      <c r="F76" s="99"/>
      <c r="G76" s="148" t="s">
        <v>935</v>
      </c>
      <c r="H76" s="148" t="s">
        <v>936</v>
      </c>
      <c r="I76" s="99"/>
      <c r="J76" s="147" t="s">
        <v>462</v>
      </c>
      <c r="K76" s="147" t="s">
        <v>284</v>
      </c>
      <c r="L76" s="100"/>
      <c r="M76" s="98"/>
      <c r="N76" s="98"/>
    </row>
    <row r="77" spans="1:14" x14ac:dyDescent="0.45">
      <c r="A77" s="91" t="s">
        <v>787</v>
      </c>
      <c r="B77" s="84"/>
      <c r="C77" s="92" t="s">
        <v>514</v>
      </c>
      <c r="D77" s="92" t="s">
        <v>515</v>
      </c>
      <c r="E77" s="92"/>
      <c r="F77" s="99"/>
      <c r="G77" s="148" t="s">
        <v>446</v>
      </c>
      <c r="H77" s="148" t="s">
        <v>447</v>
      </c>
      <c r="I77" s="99"/>
      <c r="J77" s="141" t="s">
        <v>317</v>
      </c>
      <c r="K77" s="152" t="s">
        <v>279</v>
      </c>
      <c r="L77" s="102"/>
      <c r="M77" s="101"/>
      <c r="N77" s="101"/>
    </row>
    <row r="78" spans="1:14" x14ac:dyDescent="0.45">
      <c r="A78" s="91" t="s">
        <v>788</v>
      </c>
      <c r="B78" s="84"/>
      <c r="C78" s="92" t="s">
        <v>526</v>
      </c>
      <c r="D78" s="92" t="s">
        <v>145</v>
      </c>
      <c r="E78" s="92" t="s">
        <v>585</v>
      </c>
      <c r="F78" s="99"/>
      <c r="G78" s="148" t="s">
        <v>241</v>
      </c>
      <c r="H78" s="148" t="s">
        <v>242</v>
      </c>
      <c r="I78" s="100"/>
      <c r="J78" s="141" t="s">
        <v>285</v>
      </c>
      <c r="K78" s="152" t="s">
        <v>286</v>
      </c>
      <c r="L78" s="100"/>
      <c r="M78" s="98"/>
      <c r="N78" s="98"/>
    </row>
    <row r="79" spans="1:14" x14ac:dyDescent="0.25">
      <c r="A79" s="91" t="s">
        <v>789</v>
      </c>
      <c r="B79" s="84"/>
      <c r="C79" s="92" t="s">
        <v>576</v>
      </c>
      <c r="D79" s="92" t="s">
        <v>149</v>
      </c>
      <c r="E79" s="92" t="s">
        <v>585</v>
      </c>
      <c r="F79" s="99"/>
      <c r="G79" s="148" t="s">
        <v>343</v>
      </c>
      <c r="H79" s="148" t="s">
        <v>344</v>
      </c>
      <c r="I79" s="100"/>
      <c r="J79" s="147" t="s">
        <v>965</v>
      </c>
      <c r="K79" s="147" t="s">
        <v>966</v>
      </c>
      <c r="L79" s="100"/>
      <c r="M79" s="98"/>
      <c r="N79" s="98"/>
    </row>
    <row r="80" spans="1:14" x14ac:dyDescent="0.25">
      <c r="A80" s="91" t="s">
        <v>790</v>
      </c>
      <c r="B80" s="84"/>
      <c r="C80" s="92" t="s">
        <v>536</v>
      </c>
      <c r="D80" s="92" t="s">
        <v>537</v>
      </c>
      <c r="E80" s="92"/>
      <c r="F80" s="99"/>
      <c r="G80" s="148" t="s">
        <v>345</v>
      </c>
      <c r="H80" s="148" t="s">
        <v>346</v>
      </c>
      <c r="I80" s="100"/>
      <c r="J80" s="147" t="s">
        <v>695</v>
      </c>
      <c r="K80" s="147" t="s">
        <v>696</v>
      </c>
      <c r="L80" s="100"/>
      <c r="M80" s="98"/>
      <c r="N80" s="98"/>
    </row>
    <row r="81" spans="1:14" x14ac:dyDescent="0.25">
      <c r="A81" s="91" t="s">
        <v>791</v>
      </c>
      <c r="B81" s="84"/>
      <c r="C81" s="92" t="s">
        <v>544</v>
      </c>
      <c r="D81" s="92" t="s">
        <v>545</v>
      </c>
      <c r="E81" s="92" t="s">
        <v>581</v>
      </c>
      <c r="F81" s="99"/>
      <c r="G81" s="148" t="s">
        <v>244</v>
      </c>
      <c r="H81" s="148" t="s">
        <v>314</v>
      </c>
      <c r="I81" s="100"/>
      <c r="J81" s="147" t="s">
        <v>967</v>
      </c>
      <c r="K81" s="147" t="s">
        <v>968</v>
      </c>
      <c r="L81" s="100"/>
      <c r="M81" s="98"/>
      <c r="N81" s="98"/>
    </row>
    <row r="82" spans="1:14" x14ac:dyDescent="0.25">
      <c r="A82" s="91" t="s">
        <v>792</v>
      </c>
      <c r="B82" s="84"/>
      <c r="C82" s="92" t="s">
        <v>548</v>
      </c>
      <c r="D82" s="92" t="s">
        <v>549</v>
      </c>
      <c r="E82" s="92" t="s">
        <v>583</v>
      </c>
      <c r="F82" s="99"/>
      <c r="G82" s="148" t="s">
        <v>247</v>
      </c>
      <c r="H82" s="148" t="s">
        <v>248</v>
      </c>
      <c r="I82" s="100"/>
      <c r="J82" s="147" t="s">
        <v>586</v>
      </c>
      <c r="K82" s="147" t="s">
        <v>587</v>
      </c>
      <c r="L82" s="100"/>
      <c r="M82" s="98"/>
      <c r="N82" s="98"/>
    </row>
    <row r="83" spans="1:14" x14ac:dyDescent="0.25">
      <c r="A83" s="91" t="s">
        <v>793</v>
      </c>
      <c r="B83" s="84"/>
      <c r="C83" s="92" t="s">
        <v>546</v>
      </c>
      <c r="D83" s="92" t="s">
        <v>547</v>
      </c>
      <c r="E83" s="92" t="s">
        <v>582</v>
      </c>
      <c r="F83" s="99"/>
      <c r="G83" s="148" t="s">
        <v>183</v>
      </c>
      <c r="H83" s="148" t="s">
        <v>184</v>
      </c>
      <c r="I83" s="100"/>
      <c r="J83" s="98"/>
      <c r="K83" s="98"/>
      <c r="L83" s="100"/>
      <c r="M83" s="98"/>
      <c r="N83" s="98"/>
    </row>
    <row r="84" spans="1:14" x14ac:dyDescent="0.25">
      <c r="A84" s="91" t="s">
        <v>794</v>
      </c>
      <c r="B84" s="84"/>
      <c r="C84" s="92" t="s">
        <v>578</v>
      </c>
      <c r="D84" s="92" t="s">
        <v>550</v>
      </c>
      <c r="E84" s="92" t="s">
        <v>584</v>
      </c>
      <c r="F84" s="99"/>
      <c r="G84" s="148" t="s">
        <v>432</v>
      </c>
      <c r="H84" s="148" t="s">
        <v>433</v>
      </c>
      <c r="I84" s="100"/>
      <c r="J84" s="98"/>
      <c r="K84" s="98"/>
      <c r="L84" s="100"/>
      <c r="M84" s="98"/>
      <c r="N84" s="98"/>
    </row>
    <row r="85" spans="1:14" x14ac:dyDescent="0.25">
      <c r="A85" s="91" t="s">
        <v>852</v>
      </c>
      <c r="B85" s="84"/>
      <c r="C85" s="92" t="s">
        <v>903</v>
      </c>
      <c r="D85" s="92" t="s">
        <v>904</v>
      </c>
      <c r="E85" s="92" t="str">
        <f>VLOOKUP(C85,[1]com_modificationBasisList!$D:$F,3,FALSE)</f>
        <v/>
      </c>
      <c r="F85" s="99"/>
      <c r="G85" s="148" t="s">
        <v>444</v>
      </c>
      <c r="H85" s="148" t="s">
        <v>445</v>
      </c>
      <c r="I85" s="100"/>
      <c r="J85" s="98"/>
      <c r="K85" s="98"/>
      <c r="L85" s="100"/>
      <c r="M85" s="98"/>
      <c r="N85" s="98"/>
    </row>
    <row r="86" spans="1:14" x14ac:dyDescent="0.25">
      <c r="A86" s="91" t="s">
        <v>795</v>
      </c>
      <c r="B86" s="84"/>
      <c r="C86" s="92" t="s">
        <v>528</v>
      </c>
      <c r="D86" s="92" t="s">
        <v>177</v>
      </c>
      <c r="E86" s="92" t="s">
        <v>585</v>
      </c>
      <c r="F86" s="99"/>
      <c r="G86" s="148" t="s">
        <v>249</v>
      </c>
      <c r="H86" s="148" t="s">
        <v>250</v>
      </c>
      <c r="I86" s="100"/>
      <c r="J86" s="98"/>
      <c r="K86" s="98"/>
      <c r="L86" s="100"/>
      <c r="M86" s="98"/>
      <c r="N86" s="98"/>
    </row>
    <row r="87" spans="1:14" x14ac:dyDescent="0.25">
      <c r="A87" s="91" t="s">
        <v>796</v>
      </c>
      <c r="B87" s="84"/>
      <c r="C87" s="92" t="s">
        <v>709</v>
      </c>
      <c r="D87" s="92" t="s">
        <v>708</v>
      </c>
      <c r="E87" s="92"/>
      <c r="F87" s="99"/>
      <c r="G87" s="148" t="s">
        <v>937</v>
      </c>
      <c r="H87" s="148" t="s">
        <v>938</v>
      </c>
      <c r="I87" s="100"/>
      <c r="J87" s="98"/>
      <c r="K87" s="98"/>
      <c r="L87" s="100"/>
      <c r="M87" s="98"/>
      <c r="N87" s="98"/>
    </row>
    <row r="88" spans="1:14" x14ac:dyDescent="0.25">
      <c r="A88" s="91" t="s">
        <v>797</v>
      </c>
      <c r="B88" s="84"/>
      <c r="C88" s="145"/>
      <c r="D88" s="145"/>
      <c r="E88" s="145"/>
      <c r="F88" s="99"/>
      <c r="G88" s="148" t="s">
        <v>605</v>
      </c>
      <c r="H88" s="148" t="s">
        <v>606</v>
      </c>
      <c r="I88" s="100"/>
      <c r="J88" s="98"/>
      <c r="K88" s="98"/>
      <c r="L88" s="100"/>
      <c r="M88" s="98"/>
      <c r="N88" s="98"/>
    </row>
    <row r="89" spans="1:14" x14ac:dyDescent="0.25">
      <c r="A89" s="91" t="s">
        <v>798</v>
      </c>
      <c r="B89" s="84"/>
      <c r="C89" s="145"/>
      <c r="D89" s="145"/>
      <c r="E89" s="145"/>
      <c r="F89" s="99"/>
      <c r="G89" s="148" t="s">
        <v>253</v>
      </c>
      <c r="H89" s="148" t="s">
        <v>254</v>
      </c>
      <c r="I89" s="100"/>
      <c r="J89" s="98"/>
      <c r="K89" s="98"/>
      <c r="L89" s="100"/>
      <c r="M89" s="98"/>
      <c r="N89" s="98"/>
    </row>
    <row r="90" spans="1:14" x14ac:dyDescent="0.25">
      <c r="A90" s="91" t="s">
        <v>799</v>
      </c>
      <c r="B90" s="84"/>
      <c r="C90" s="145"/>
      <c r="D90" s="145"/>
      <c r="E90" s="145"/>
      <c r="F90" s="99"/>
      <c r="G90" s="148" t="s">
        <v>257</v>
      </c>
      <c r="H90" s="148" t="s">
        <v>258</v>
      </c>
      <c r="I90" s="100"/>
      <c r="J90" s="98"/>
      <c r="K90" s="98"/>
      <c r="L90" s="100"/>
      <c r="M90" s="98"/>
      <c r="N90" s="98"/>
    </row>
    <row r="91" spans="1:14" x14ac:dyDescent="0.25">
      <c r="A91" s="91" t="s">
        <v>800</v>
      </c>
      <c r="B91" s="84"/>
      <c r="C91" s="145"/>
      <c r="D91" s="145"/>
      <c r="E91" s="145"/>
      <c r="F91" s="99"/>
      <c r="G91" s="148" t="s">
        <v>347</v>
      </c>
      <c r="H91" s="148" t="s">
        <v>348</v>
      </c>
      <c r="I91" s="100"/>
      <c r="J91" s="98"/>
      <c r="K91" s="98"/>
      <c r="L91" s="100"/>
      <c r="M91" s="98"/>
      <c r="N91" s="98"/>
    </row>
    <row r="92" spans="1:14" x14ac:dyDescent="0.25">
      <c r="A92" s="91" t="s">
        <v>801</v>
      </c>
      <c r="B92" s="84"/>
      <c r="C92" s="145"/>
      <c r="D92" s="145"/>
      <c r="E92" s="145"/>
      <c r="F92" s="99"/>
      <c r="G92" s="148" t="s">
        <v>349</v>
      </c>
      <c r="H92" s="148" t="s">
        <v>350</v>
      </c>
      <c r="I92" s="100"/>
      <c r="J92" s="98"/>
      <c r="K92" s="98"/>
      <c r="L92" s="100"/>
      <c r="M92" s="98"/>
      <c r="N92" s="98"/>
    </row>
    <row r="93" spans="1:14" x14ac:dyDescent="0.25">
      <c r="A93" s="91" t="s">
        <v>802</v>
      </c>
      <c r="B93" s="84"/>
      <c r="C93" s="145"/>
      <c r="D93" s="145"/>
      <c r="E93" s="145"/>
      <c r="F93" s="99"/>
      <c r="G93" s="148" t="s">
        <v>190</v>
      </c>
      <c r="H93" s="148" t="s">
        <v>383</v>
      </c>
      <c r="I93" s="100"/>
      <c r="J93" s="98"/>
      <c r="K93" s="98"/>
      <c r="L93" s="100"/>
      <c r="M93" s="98"/>
      <c r="N93" s="98"/>
    </row>
    <row r="94" spans="1:14" x14ac:dyDescent="0.25">
      <c r="A94" s="91" t="s">
        <v>803</v>
      </c>
      <c r="B94" s="84"/>
      <c r="C94" s="145"/>
      <c r="D94" s="145"/>
      <c r="E94" s="145"/>
      <c r="F94" s="99"/>
      <c r="G94" s="148" t="s">
        <v>389</v>
      </c>
      <c r="H94" s="148" t="s">
        <v>264</v>
      </c>
      <c r="I94" s="100"/>
      <c r="J94" s="98"/>
      <c r="K94" s="98"/>
      <c r="L94" s="100"/>
      <c r="M94" s="98"/>
      <c r="N94" s="98"/>
    </row>
    <row r="95" spans="1:14" x14ac:dyDescent="0.25">
      <c r="A95" s="91" t="s">
        <v>804</v>
      </c>
      <c r="B95" s="84"/>
      <c r="C95" s="146"/>
      <c r="D95" s="146"/>
      <c r="E95" s="145"/>
      <c r="F95" s="99"/>
      <c r="G95" s="148" t="s">
        <v>384</v>
      </c>
      <c r="H95" s="148" t="s">
        <v>265</v>
      </c>
      <c r="I95" s="100"/>
      <c r="J95" s="98"/>
      <c r="K95" s="98"/>
      <c r="L95" s="100"/>
      <c r="M95" s="98"/>
      <c r="N95" s="98"/>
    </row>
    <row r="96" spans="1:14" x14ac:dyDescent="0.25">
      <c r="A96" s="91" t="s">
        <v>805</v>
      </c>
      <c r="B96" s="84"/>
      <c r="C96" s="146"/>
      <c r="D96" s="146"/>
      <c r="E96" s="145"/>
      <c r="F96" s="99"/>
      <c r="G96" s="148" t="s">
        <v>409</v>
      </c>
      <c r="H96" s="148" t="s">
        <v>410</v>
      </c>
      <c r="I96" s="100"/>
      <c r="J96" s="98"/>
      <c r="K96" s="98"/>
      <c r="L96" s="100"/>
      <c r="M96" s="98"/>
      <c r="N96" s="98"/>
    </row>
    <row r="97" spans="1:14" x14ac:dyDescent="0.25">
      <c r="A97" s="91" t="s">
        <v>806</v>
      </c>
      <c r="B97" s="84"/>
      <c r="C97" s="146"/>
      <c r="D97" s="146"/>
      <c r="E97" s="145"/>
      <c r="F97" s="99"/>
      <c r="G97" s="148" t="s">
        <v>266</v>
      </c>
      <c r="H97" s="148" t="s">
        <v>267</v>
      </c>
      <c r="I97" s="100"/>
      <c r="J97" s="98"/>
      <c r="K97" s="98"/>
      <c r="L97" s="100"/>
      <c r="M97" s="98"/>
      <c r="N97" s="98"/>
    </row>
    <row r="98" spans="1:14" x14ac:dyDescent="0.25">
      <c r="A98" s="91" t="s">
        <v>807</v>
      </c>
      <c r="B98" s="84"/>
      <c r="C98" s="146"/>
      <c r="D98" s="146"/>
      <c r="E98" s="145"/>
      <c r="F98" s="99"/>
      <c r="G98" s="148" t="s">
        <v>270</v>
      </c>
      <c r="H98" s="148" t="s">
        <v>271</v>
      </c>
      <c r="I98" s="100"/>
      <c r="J98" s="98"/>
      <c r="K98" s="98"/>
      <c r="L98" s="100"/>
      <c r="M98" s="98"/>
      <c r="N98" s="98"/>
    </row>
    <row r="99" spans="1:14" x14ac:dyDescent="0.25">
      <c r="A99" s="91" t="s">
        <v>808</v>
      </c>
      <c r="B99" s="84"/>
      <c r="C99" s="146"/>
      <c r="D99" s="146"/>
      <c r="E99" s="146"/>
      <c r="F99" s="99"/>
      <c r="G99" s="148" t="s">
        <v>316</v>
      </c>
      <c r="H99" s="148" t="s">
        <v>274</v>
      </c>
      <c r="I99" s="100"/>
      <c r="J99" s="98"/>
      <c r="K99" s="98"/>
      <c r="L99" s="100"/>
      <c r="M99" s="98"/>
      <c r="N99" s="98"/>
    </row>
    <row r="100" spans="1:14" x14ac:dyDescent="0.25">
      <c r="A100" s="91" t="s">
        <v>809</v>
      </c>
      <c r="B100" s="84"/>
      <c r="C100" s="145"/>
      <c r="D100" s="145"/>
      <c r="E100" s="145"/>
      <c r="F100" s="99"/>
      <c r="G100" s="148" t="s">
        <v>315</v>
      </c>
      <c r="H100" s="148" t="s">
        <v>261</v>
      </c>
      <c r="I100" s="100"/>
      <c r="J100" s="98"/>
      <c r="K100" s="98"/>
      <c r="L100" s="100"/>
      <c r="M100" s="98"/>
      <c r="N100" s="98"/>
    </row>
    <row r="101" spans="1:14" x14ac:dyDescent="0.25">
      <c r="A101" s="91" t="s">
        <v>810</v>
      </c>
      <c r="B101" s="84"/>
      <c r="C101" s="146"/>
      <c r="D101" s="146"/>
      <c r="E101" s="146"/>
      <c r="F101" s="99"/>
      <c r="G101" s="148" t="s">
        <v>277</v>
      </c>
      <c r="H101" s="148" t="s">
        <v>278</v>
      </c>
      <c r="I101" s="100"/>
      <c r="J101" s="98"/>
      <c r="K101" s="98"/>
      <c r="L101" s="100"/>
      <c r="M101" s="98"/>
      <c r="N101" s="98"/>
    </row>
    <row r="102" spans="1:14" x14ac:dyDescent="0.45">
      <c r="A102" s="91" t="s">
        <v>811</v>
      </c>
      <c r="B102" s="84"/>
      <c r="C102" s="97"/>
      <c r="D102" s="97"/>
      <c r="E102" s="97"/>
      <c r="F102" s="99"/>
      <c r="G102" s="145" t="s">
        <v>351</v>
      </c>
      <c r="H102" s="150" t="s">
        <v>352</v>
      </c>
      <c r="I102" s="100"/>
      <c r="J102" s="98"/>
      <c r="K102" s="98"/>
      <c r="L102" s="100"/>
      <c r="M102" s="98"/>
      <c r="N102" s="98"/>
    </row>
    <row r="103" spans="1:14" x14ac:dyDescent="0.25">
      <c r="A103" s="91" t="s">
        <v>812</v>
      </c>
      <c r="B103" s="84"/>
      <c r="C103" s="97"/>
      <c r="D103" s="97"/>
      <c r="E103" s="97"/>
      <c r="F103" s="99"/>
      <c r="G103" s="151" t="s">
        <v>609</v>
      </c>
      <c r="H103" s="151" t="s">
        <v>429</v>
      </c>
      <c r="I103" s="100"/>
      <c r="J103" s="98"/>
      <c r="K103" s="98"/>
      <c r="L103" s="100"/>
      <c r="M103" s="98"/>
      <c r="N103" s="98"/>
    </row>
    <row r="104" spans="1:14" x14ac:dyDescent="0.25">
      <c r="A104" s="91" t="s">
        <v>813</v>
      </c>
      <c r="B104" s="84"/>
      <c r="C104" s="97"/>
      <c r="D104" s="97"/>
      <c r="E104" s="97"/>
      <c r="F104" s="99"/>
      <c r="G104" s="151" t="s">
        <v>403</v>
      </c>
      <c r="H104" s="151" t="s">
        <v>404</v>
      </c>
      <c r="I104" s="100"/>
      <c r="J104" s="98"/>
      <c r="K104" s="98"/>
      <c r="L104" s="100"/>
      <c r="M104" s="98"/>
      <c r="N104" s="98"/>
    </row>
    <row r="105" spans="1:14" x14ac:dyDescent="0.25">
      <c r="A105" s="91" t="s">
        <v>814</v>
      </c>
      <c r="B105" s="84"/>
      <c r="C105" s="97"/>
      <c r="D105" s="97"/>
      <c r="E105" s="97"/>
      <c r="F105" s="99"/>
      <c r="G105" s="146" t="s">
        <v>607</v>
      </c>
      <c r="H105" s="146" t="s">
        <v>608</v>
      </c>
      <c r="I105" s="100"/>
      <c r="J105" s="98"/>
      <c r="K105" s="98"/>
      <c r="L105" s="100"/>
      <c r="M105" s="98"/>
      <c r="N105" s="98"/>
    </row>
    <row r="106" spans="1:14" x14ac:dyDescent="0.25">
      <c r="A106" s="91" t="s">
        <v>815</v>
      </c>
      <c r="B106" s="84"/>
      <c r="C106" s="97"/>
      <c r="D106" s="97"/>
      <c r="E106" s="97"/>
      <c r="F106" s="99"/>
      <c r="G106" s="97"/>
      <c r="H106" s="97"/>
      <c r="I106" s="100"/>
      <c r="J106" s="98"/>
      <c r="K106" s="98"/>
      <c r="L106" s="100"/>
      <c r="M106" s="98"/>
      <c r="N106" s="98"/>
    </row>
    <row r="107" spans="1:14" x14ac:dyDescent="0.25">
      <c r="A107" s="91" t="s">
        <v>816</v>
      </c>
      <c r="B107" s="84"/>
      <c r="C107" s="97"/>
      <c r="D107" s="97"/>
      <c r="E107" s="97"/>
      <c r="F107" s="99"/>
      <c r="G107" s="97"/>
      <c r="H107" s="97"/>
      <c r="I107" s="100"/>
      <c r="J107" s="98"/>
      <c r="K107" s="98"/>
      <c r="L107" s="100"/>
      <c r="M107" s="98"/>
      <c r="N107" s="98"/>
    </row>
    <row r="108" spans="1:14" x14ac:dyDescent="0.25">
      <c r="A108" s="91" t="s">
        <v>817</v>
      </c>
      <c r="B108" s="84"/>
      <c r="C108" s="97"/>
      <c r="D108" s="97"/>
      <c r="E108" s="97"/>
      <c r="F108" s="99"/>
      <c r="G108" s="97"/>
      <c r="H108" s="97"/>
      <c r="I108" s="100"/>
      <c r="J108" s="98"/>
      <c r="K108" s="98"/>
      <c r="L108" s="100"/>
      <c r="M108" s="98"/>
      <c r="N108" s="98"/>
    </row>
    <row r="109" spans="1:14" x14ac:dyDescent="0.25">
      <c r="A109" s="91" t="s">
        <v>818</v>
      </c>
      <c r="B109" s="84"/>
      <c r="C109" s="97"/>
      <c r="D109" s="97"/>
      <c r="E109" s="97"/>
      <c r="F109" s="99"/>
      <c r="G109" s="97"/>
      <c r="H109" s="97"/>
      <c r="I109" s="100"/>
      <c r="J109" s="98"/>
      <c r="K109" s="98"/>
      <c r="L109" s="100"/>
      <c r="M109" s="98"/>
      <c r="N109" s="98"/>
    </row>
    <row r="110" spans="1:14" x14ac:dyDescent="0.25">
      <c r="A110" s="91" t="s">
        <v>819</v>
      </c>
      <c r="B110" s="84"/>
      <c r="C110" s="97"/>
      <c r="D110" s="97"/>
      <c r="E110" s="97"/>
      <c r="F110" s="99"/>
      <c r="G110" s="97"/>
      <c r="H110" s="97"/>
      <c r="I110" s="100"/>
      <c r="J110" s="98"/>
      <c r="K110" s="98"/>
      <c r="L110" s="100"/>
      <c r="M110" s="98"/>
      <c r="N110" s="98"/>
    </row>
    <row r="111" spans="1:14" x14ac:dyDescent="0.25">
      <c r="A111" s="91" t="s">
        <v>820</v>
      </c>
      <c r="B111" s="84"/>
      <c r="C111" s="97"/>
      <c r="D111" s="97"/>
      <c r="E111" s="97"/>
      <c r="F111" s="99"/>
      <c r="G111" s="97"/>
      <c r="H111" s="97"/>
      <c r="I111" s="100"/>
      <c r="J111" s="98"/>
      <c r="K111" s="98"/>
      <c r="L111" s="100"/>
      <c r="M111" s="98"/>
      <c r="N111" s="98"/>
    </row>
    <row r="112" spans="1:14" x14ac:dyDescent="0.25">
      <c r="A112" s="91" t="s">
        <v>821</v>
      </c>
      <c r="B112" s="84"/>
      <c r="C112" s="97"/>
      <c r="D112" s="97"/>
      <c r="E112" s="97"/>
      <c r="F112" s="99"/>
      <c r="G112" s="97"/>
      <c r="H112" s="97"/>
      <c r="I112" s="100"/>
      <c r="J112" s="98"/>
      <c r="K112" s="98"/>
      <c r="L112" s="100"/>
      <c r="M112" s="98"/>
      <c r="N112" s="98"/>
    </row>
    <row r="113" spans="1:14" x14ac:dyDescent="0.25">
      <c r="A113" s="91" t="s">
        <v>822</v>
      </c>
      <c r="B113" s="84"/>
      <c r="C113" s="97"/>
      <c r="D113" s="97"/>
      <c r="E113" s="97"/>
      <c r="F113" s="99"/>
      <c r="G113" s="97"/>
      <c r="H113" s="97"/>
      <c r="I113" s="100"/>
      <c r="J113" s="98"/>
      <c r="K113" s="98"/>
      <c r="L113" s="100"/>
      <c r="M113" s="98"/>
      <c r="N113" s="98"/>
    </row>
    <row r="114" spans="1:14" x14ac:dyDescent="0.25">
      <c r="A114" s="91" t="s">
        <v>823</v>
      </c>
      <c r="B114" s="84"/>
      <c r="C114" s="97"/>
      <c r="D114" s="97"/>
      <c r="E114" s="97"/>
      <c r="F114" s="99"/>
      <c r="G114" s="97"/>
      <c r="H114" s="97"/>
      <c r="I114" s="100"/>
      <c r="J114" s="98"/>
      <c r="K114" s="98"/>
      <c r="L114" s="100"/>
      <c r="M114" s="98"/>
      <c r="N114" s="98"/>
    </row>
    <row r="115" spans="1:14" x14ac:dyDescent="0.25">
      <c r="A115" s="91" t="s">
        <v>824</v>
      </c>
      <c r="B115" s="84"/>
      <c r="C115" s="97"/>
      <c r="D115" s="97"/>
      <c r="E115" s="97"/>
      <c r="F115" s="99"/>
      <c r="G115" s="97"/>
      <c r="H115" s="97"/>
      <c r="I115" s="100"/>
      <c r="J115" s="98"/>
      <c r="K115" s="98"/>
      <c r="L115" s="100"/>
      <c r="M115" s="98"/>
      <c r="N115" s="98"/>
    </row>
    <row r="116" spans="1:14" x14ac:dyDescent="0.25">
      <c r="A116" s="91" t="s">
        <v>825</v>
      </c>
      <c r="B116" s="84"/>
      <c r="C116" s="97"/>
      <c r="D116" s="97"/>
      <c r="E116" s="97"/>
      <c r="F116" s="99"/>
      <c r="G116" s="97"/>
      <c r="H116" s="97"/>
      <c r="I116" s="100"/>
      <c r="J116" s="98"/>
      <c r="K116" s="98"/>
      <c r="L116" s="100"/>
      <c r="M116" s="98"/>
      <c r="N116" s="98"/>
    </row>
    <row r="117" spans="1:14" x14ac:dyDescent="0.25">
      <c r="A117" s="91" t="s">
        <v>826</v>
      </c>
      <c r="B117" s="84"/>
      <c r="C117" s="97"/>
      <c r="D117" s="97"/>
      <c r="E117" s="97"/>
      <c r="F117" s="99"/>
      <c r="G117" s="97"/>
      <c r="H117" s="97"/>
      <c r="I117" s="100"/>
      <c r="J117" s="98"/>
      <c r="K117" s="98"/>
      <c r="L117" s="100"/>
      <c r="M117" s="98"/>
      <c r="N117" s="98"/>
    </row>
    <row r="118" spans="1:14" x14ac:dyDescent="0.25">
      <c r="A118" s="91" t="s">
        <v>827</v>
      </c>
      <c r="B118" s="84"/>
      <c r="C118" s="97"/>
      <c r="D118" s="97"/>
      <c r="E118" s="97"/>
      <c r="F118" s="99"/>
      <c r="G118" s="97"/>
      <c r="H118" s="97"/>
      <c r="I118" s="100"/>
      <c r="J118" s="98"/>
      <c r="K118" s="98"/>
      <c r="L118" s="100"/>
      <c r="M118" s="98"/>
      <c r="N118" s="98"/>
    </row>
    <row r="119" spans="1:14" x14ac:dyDescent="0.25">
      <c r="A119" s="91" t="s">
        <v>828</v>
      </c>
      <c r="B119" s="84"/>
      <c r="C119" s="97"/>
      <c r="D119" s="97"/>
      <c r="E119" s="97"/>
      <c r="F119" s="99"/>
      <c r="G119" s="97"/>
      <c r="H119" s="97"/>
      <c r="I119" s="100"/>
      <c r="J119" s="98"/>
      <c r="K119" s="98"/>
      <c r="L119" s="100"/>
      <c r="M119" s="98"/>
      <c r="N119" s="98"/>
    </row>
    <row r="120" spans="1:14" x14ac:dyDescent="0.25">
      <c r="A120" s="91" t="s">
        <v>829</v>
      </c>
      <c r="B120" s="84"/>
      <c r="C120" s="97"/>
      <c r="D120" s="97"/>
      <c r="E120" s="97"/>
      <c r="F120" s="99"/>
      <c r="G120" s="97"/>
      <c r="H120" s="97"/>
      <c r="I120" s="100"/>
      <c r="J120" s="98"/>
      <c r="K120" s="98"/>
      <c r="L120" s="100"/>
      <c r="M120" s="98"/>
      <c r="N120" s="98"/>
    </row>
    <row r="121" spans="1:14" x14ac:dyDescent="0.25">
      <c r="A121" s="91" t="s">
        <v>830</v>
      </c>
      <c r="B121" s="84"/>
      <c r="C121" s="97"/>
      <c r="D121" s="97"/>
      <c r="E121" s="97"/>
      <c r="F121" s="99"/>
      <c r="G121" s="97"/>
      <c r="H121" s="97"/>
      <c r="I121" s="100"/>
      <c r="J121" s="98"/>
      <c r="K121" s="98"/>
      <c r="L121" s="100"/>
      <c r="M121" s="98"/>
      <c r="N121" s="98"/>
    </row>
    <row r="122" spans="1:14" x14ac:dyDescent="0.25">
      <c r="A122" s="91" t="s">
        <v>831</v>
      </c>
      <c r="B122" s="84"/>
      <c r="C122" s="97"/>
      <c r="D122" s="97"/>
      <c r="E122" s="97"/>
      <c r="F122" s="99"/>
      <c r="G122" s="97"/>
      <c r="H122" s="97"/>
      <c r="I122" s="100"/>
      <c r="J122" s="98"/>
      <c r="K122" s="98"/>
      <c r="L122" s="100"/>
      <c r="M122" s="98"/>
      <c r="N122" s="98"/>
    </row>
    <row r="123" spans="1:14" x14ac:dyDescent="0.25">
      <c r="A123" s="91" t="s">
        <v>832</v>
      </c>
      <c r="B123" s="84"/>
      <c r="C123" s="97"/>
      <c r="D123" s="97"/>
      <c r="E123" s="97"/>
      <c r="F123" s="99"/>
      <c r="G123" s="97"/>
      <c r="H123" s="97"/>
      <c r="I123" s="100"/>
      <c r="J123" s="98"/>
      <c r="K123" s="98"/>
      <c r="L123" s="100"/>
      <c r="M123" s="98"/>
      <c r="N123" s="98"/>
    </row>
    <row r="124" spans="1:14" x14ac:dyDescent="0.25">
      <c r="A124" s="91" t="s">
        <v>833</v>
      </c>
      <c r="B124" s="84"/>
      <c r="C124" s="97"/>
      <c r="D124" s="97"/>
      <c r="E124" s="97"/>
      <c r="F124" s="99"/>
      <c r="G124" s="97"/>
      <c r="H124" s="97"/>
      <c r="I124" s="100"/>
      <c r="J124" s="98"/>
      <c r="K124" s="98"/>
      <c r="L124" s="100"/>
      <c r="M124" s="98"/>
      <c r="N124" s="98"/>
    </row>
    <row r="125" spans="1:14" x14ac:dyDescent="0.25">
      <c r="A125" s="91" t="s">
        <v>834</v>
      </c>
      <c r="B125" s="84"/>
      <c r="C125" s="97"/>
      <c r="D125" s="97"/>
      <c r="E125" s="97"/>
      <c r="F125" s="99"/>
      <c r="G125" s="97"/>
      <c r="H125" s="97"/>
      <c r="I125" s="100"/>
      <c r="J125" s="98"/>
      <c r="K125" s="98"/>
      <c r="L125" s="100"/>
      <c r="M125" s="98"/>
      <c r="N125" s="98"/>
    </row>
    <row r="126" spans="1:14" x14ac:dyDescent="0.25">
      <c r="A126" s="91" t="s">
        <v>835</v>
      </c>
      <c r="B126" s="84"/>
      <c r="C126" s="97"/>
      <c r="D126" s="97"/>
      <c r="E126" s="97"/>
      <c r="F126" s="99"/>
      <c r="G126" s="97"/>
      <c r="H126" s="97"/>
      <c r="I126" s="100"/>
      <c r="J126" s="98"/>
      <c r="K126" s="98"/>
      <c r="L126" s="100"/>
      <c r="M126" s="98"/>
      <c r="N126" s="98"/>
    </row>
    <row r="127" spans="1:14" x14ac:dyDescent="0.25">
      <c r="A127" s="91" t="s">
        <v>836</v>
      </c>
      <c r="B127" s="84"/>
      <c r="C127" s="97"/>
      <c r="D127" s="97"/>
      <c r="E127" s="97"/>
      <c r="F127" s="99"/>
      <c r="G127" s="97"/>
      <c r="H127" s="97"/>
      <c r="I127" s="100"/>
      <c r="J127" s="98"/>
      <c r="K127" s="98"/>
      <c r="L127" s="100"/>
      <c r="M127" s="98"/>
      <c r="N127" s="98"/>
    </row>
    <row r="128" spans="1:14" x14ac:dyDescent="0.25">
      <c r="A128" s="91" t="s">
        <v>837</v>
      </c>
      <c r="B128" s="84"/>
      <c r="C128" s="97"/>
      <c r="D128" s="97"/>
      <c r="E128" s="97"/>
      <c r="F128" s="99"/>
      <c r="G128" s="97"/>
      <c r="H128" s="97"/>
      <c r="I128" s="100"/>
      <c r="J128" s="98"/>
      <c r="K128" s="98"/>
      <c r="L128" s="100"/>
      <c r="M128" s="98"/>
      <c r="N128" s="98"/>
    </row>
    <row r="129" spans="1:14" x14ac:dyDescent="0.25">
      <c r="A129" s="91" t="s">
        <v>838</v>
      </c>
      <c r="B129" s="84"/>
      <c r="C129" s="97"/>
      <c r="D129" s="97"/>
      <c r="E129" s="97"/>
      <c r="F129" s="99"/>
      <c r="G129" s="97"/>
      <c r="H129" s="97"/>
      <c r="I129" s="100"/>
      <c r="J129" s="98"/>
      <c r="K129" s="98"/>
      <c r="L129" s="100"/>
      <c r="M129" s="98"/>
      <c r="N129" s="98"/>
    </row>
    <row r="130" spans="1:14" x14ac:dyDescent="0.25">
      <c r="A130" s="91" t="s">
        <v>839</v>
      </c>
      <c r="B130" s="84"/>
      <c r="C130" s="97"/>
      <c r="D130" s="97"/>
      <c r="E130" s="97"/>
      <c r="F130" s="99"/>
      <c r="G130" s="97"/>
      <c r="H130" s="97"/>
      <c r="I130" s="100"/>
      <c r="J130" s="98"/>
      <c r="K130" s="98"/>
      <c r="L130" s="100"/>
      <c r="M130" s="98"/>
      <c r="N130" s="98"/>
    </row>
    <row r="131" spans="1:14" x14ac:dyDescent="0.25">
      <c r="A131" s="91" t="s">
        <v>840</v>
      </c>
      <c r="B131" s="84"/>
      <c r="C131" s="97"/>
      <c r="D131" s="97"/>
      <c r="E131" s="97"/>
      <c r="F131" s="99"/>
      <c r="G131" s="97"/>
      <c r="H131" s="97"/>
      <c r="I131" s="100"/>
      <c r="J131" s="98"/>
      <c r="K131" s="98"/>
      <c r="L131" s="100"/>
      <c r="M131" s="98"/>
      <c r="N131" s="98"/>
    </row>
    <row r="132" spans="1:14" x14ac:dyDescent="0.25">
      <c r="A132" s="91" t="s">
        <v>841</v>
      </c>
      <c r="B132" s="84"/>
      <c r="C132" s="97"/>
      <c r="D132" s="97"/>
      <c r="E132" s="97"/>
      <c r="F132" s="99"/>
      <c r="G132" s="97"/>
      <c r="H132" s="97"/>
      <c r="I132" s="100"/>
      <c r="J132" s="98"/>
      <c r="K132" s="98"/>
      <c r="L132" s="100"/>
      <c r="M132" s="98"/>
      <c r="N132" s="98"/>
    </row>
    <row r="133" spans="1:14" x14ac:dyDescent="0.25">
      <c r="A133" s="91" t="s">
        <v>842</v>
      </c>
      <c r="B133" s="84"/>
      <c r="C133" s="97"/>
      <c r="D133" s="97"/>
      <c r="E133" s="97"/>
      <c r="F133" s="99"/>
      <c r="G133" s="97"/>
      <c r="H133" s="97"/>
      <c r="I133" s="100"/>
      <c r="J133" s="98"/>
      <c r="K133" s="98"/>
      <c r="L133" s="100"/>
      <c r="M133" s="98"/>
      <c r="N133" s="98"/>
    </row>
    <row r="134" spans="1:14" x14ac:dyDescent="0.25">
      <c r="A134" s="91" t="s">
        <v>843</v>
      </c>
      <c r="B134" s="84"/>
      <c r="C134" s="97"/>
      <c r="D134" s="97"/>
      <c r="E134" s="97"/>
      <c r="F134" s="99"/>
      <c r="G134" s="97"/>
      <c r="H134" s="97"/>
      <c r="I134" s="100"/>
      <c r="J134" s="98"/>
      <c r="K134" s="98"/>
      <c r="L134" s="100"/>
      <c r="M134" s="98"/>
      <c r="N134" s="98"/>
    </row>
    <row r="135" spans="1:14" x14ac:dyDescent="0.25">
      <c r="A135" s="91" t="s">
        <v>844</v>
      </c>
      <c r="B135" s="84"/>
      <c r="C135" s="97"/>
      <c r="D135" s="97"/>
      <c r="E135" s="97"/>
      <c r="F135" s="99"/>
      <c r="G135" s="97"/>
      <c r="H135" s="97"/>
      <c r="I135" s="100"/>
      <c r="J135" s="98"/>
      <c r="K135" s="98"/>
      <c r="L135" s="100"/>
      <c r="M135" s="98"/>
      <c r="N135" s="98"/>
    </row>
    <row r="136" spans="1:14" x14ac:dyDescent="0.25">
      <c r="A136" s="91" t="s">
        <v>845</v>
      </c>
      <c r="B136" s="84"/>
      <c r="C136" s="97"/>
      <c r="D136" s="97"/>
      <c r="E136" s="97"/>
      <c r="F136" s="99"/>
      <c r="G136" s="97"/>
      <c r="H136" s="97"/>
      <c r="I136" s="100"/>
      <c r="J136" s="98"/>
      <c r="K136" s="98"/>
      <c r="L136" s="100"/>
      <c r="M136" s="98"/>
      <c r="N136" s="98"/>
    </row>
    <row r="137" spans="1:14" x14ac:dyDescent="0.25">
      <c r="A137" s="91" t="s">
        <v>846</v>
      </c>
      <c r="B137" s="84"/>
      <c r="C137" s="97"/>
      <c r="D137" s="97"/>
      <c r="E137" s="97"/>
      <c r="F137" s="99"/>
      <c r="G137" s="97"/>
      <c r="H137" s="97"/>
      <c r="I137" s="100"/>
      <c r="J137" s="98"/>
      <c r="K137" s="98"/>
      <c r="L137" s="100"/>
      <c r="M137" s="98"/>
      <c r="N137" s="98"/>
    </row>
    <row r="138" spans="1:14" x14ac:dyDescent="0.25">
      <c r="A138" s="91" t="s">
        <v>847</v>
      </c>
      <c r="B138" s="84"/>
      <c r="C138" s="97"/>
      <c r="D138" s="97"/>
      <c r="E138" s="97"/>
      <c r="F138" s="99"/>
      <c r="G138" s="97"/>
      <c r="H138" s="97"/>
      <c r="I138" s="100"/>
      <c r="J138" s="98"/>
      <c r="K138" s="98"/>
      <c r="L138" s="100"/>
      <c r="M138" s="98"/>
      <c r="N138" s="98"/>
    </row>
    <row r="139" spans="1:14" x14ac:dyDescent="0.25">
      <c r="A139" s="155" t="s">
        <v>848</v>
      </c>
      <c r="B139" s="84"/>
      <c r="C139" s="97"/>
      <c r="D139" s="97"/>
      <c r="E139" s="97"/>
      <c r="F139" s="99"/>
      <c r="G139" s="97"/>
      <c r="H139" s="97"/>
      <c r="I139" s="100"/>
      <c r="J139" s="98"/>
      <c r="K139" s="98"/>
      <c r="L139" s="100"/>
      <c r="M139" s="98"/>
      <c r="N139" s="98"/>
    </row>
    <row r="140" spans="1:14" x14ac:dyDescent="0.25">
      <c r="A140" s="155" t="s">
        <v>849</v>
      </c>
      <c r="B140" s="84"/>
      <c r="C140" s="97"/>
      <c r="D140" s="97"/>
      <c r="E140" s="97"/>
      <c r="F140" s="99"/>
      <c r="G140" s="97"/>
      <c r="H140" s="97"/>
      <c r="I140" s="100"/>
      <c r="J140" s="98"/>
      <c r="K140" s="98"/>
      <c r="L140" s="100"/>
      <c r="M140" s="98"/>
      <c r="N140" s="98"/>
    </row>
    <row r="141" spans="1:14" x14ac:dyDescent="0.25">
      <c r="A141" s="155" t="s">
        <v>850</v>
      </c>
      <c r="B141" s="84"/>
      <c r="C141" s="97"/>
      <c r="D141" s="97"/>
      <c r="E141" s="97"/>
      <c r="F141" s="99"/>
      <c r="G141" s="97"/>
      <c r="H141" s="97"/>
      <c r="I141" s="100"/>
      <c r="J141" s="98"/>
      <c r="K141" s="98"/>
      <c r="L141" s="100"/>
      <c r="M141" s="98"/>
      <c r="N141" s="98"/>
    </row>
    <row r="142" spans="1:14" x14ac:dyDescent="0.25">
      <c r="A142" s="155" t="s">
        <v>851</v>
      </c>
      <c r="B142" s="84"/>
      <c r="C142" s="97"/>
      <c r="D142" s="97"/>
      <c r="E142" s="97"/>
      <c r="F142" s="99"/>
      <c r="G142" s="97"/>
      <c r="H142" s="97"/>
      <c r="I142" s="100"/>
      <c r="J142" s="98"/>
      <c r="K142" s="98"/>
      <c r="L142" s="100"/>
      <c r="M142" s="98"/>
      <c r="N142" s="98"/>
    </row>
    <row r="143" spans="1:14" x14ac:dyDescent="0.25">
      <c r="A143" s="91"/>
      <c r="B143" s="84"/>
      <c r="C143" s="97"/>
      <c r="D143" s="97"/>
      <c r="E143" s="97"/>
      <c r="F143" s="99"/>
      <c r="G143" s="97"/>
      <c r="H143" s="97"/>
      <c r="I143" s="100"/>
      <c r="J143" s="98"/>
      <c r="K143" s="98"/>
      <c r="L143" s="100"/>
      <c r="M143" s="98"/>
      <c r="N143" s="98"/>
    </row>
    <row r="144" spans="1:14" x14ac:dyDescent="0.25">
      <c r="A144" s="91"/>
      <c r="B144" s="84"/>
      <c r="C144" s="97"/>
      <c r="D144" s="97"/>
      <c r="E144" s="97"/>
      <c r="F144" s="99"/>
      <c r="G144" s="97"/>
      <c r="H144" s="97"/>
      <c r="I144" s="100"/>
      <c r="J144" s="98"/>
      <c r="K144" s="98"/>
      <c r="L144" s="100"/>
      <c r="M144" s="98"/>
      <c r="N144" s="98"/>
    </row>
    <row r="145" spans="1:14" x14ac:dyDescent="0.25">
      <c r="A145" s="91"/>
      <c r="B145" s="84"/>
      <c r="C145" s="97"/>
      <c r="D145" s="97"/>
      <c r="E145" s="97"/>
      <c r="F145" s="99"/>
      <c r="G145" s="97"/>
      <c r="H145" s="97"/>
      <c r="I145" s="100"/>
      <c r="J145" s="98"/>
      <c r="K145" s="98"/>
      <c r="L145" s="100"/>
      <c r="M145" s="98"/>
      <c r="N145" s="98"/>
    </row>
    <row r="146" spans="1:14" x14ac:dyDescent="0.25">
      <c r="A146" s="91"/>
      <c r="B146" s="84"/>
      <c r="C146" s="97"/>
      <c r="D146" s="97"/>
      <c r="E146" s="97"/>
      <c r="F146" s="99"/>
      <c r="G146" s="97"/>
      <c r="H146" s="97"/>
      <c r="I146" s="100"/>
      <c r="J146" s="98"/>
      <c r="K146" s="98"/>
      <c r="L146" s="100"/>
      <c r="M146" s="98"/>
      <c r="N146" s="98"/>
    </row>
    <row r="147" spans="1:14" x14ac:dyDescent="0.25">
      <c r="A147" s="91"/>
      <c r="B147" s="84"/>
      <c r="C147" s="97"/>
      <c r="D147" s="97"/>
      <c r="E147" s="97"/>
      <c r="F147" s="99"/>
      <c r="G147" s="97"/>
      <c r="H147" s="97"/>
      <c r="I147" s="100"/>
      <c r="J147" s="98"/>
      <c r="K147" s="98"/>
      <c r="L147" s="100"/>
      <c r="M147" s="98"/>
      <c r="N147" s="98"/>
    </row>
    <row r="148" spans="1:14" x14ac:dyDescent="0.25">
      <c r="A148" s="91"/>
      <c r="B148" s="84"/>
      <c r="C148" s="97"/>
      <c r="D148" s="97"/>
      <c r="E148" s="97"/>
      <c r="F148" s="99"/>
      <c r="G148" s="97"/>
      <c r="H148" s="97"/>
      <c r="I148" s="100"/>
      <c r="J148" s="98"/>
      <c r="K148" s="98"/>
      <c r="L148" s="100"/>
      <c r="M148" s="98"/>
      <c r="N148" s="98"/>
    </row>
    <row r="149" spans="1:14" x14ac:dyDescent="0.25">
      <c r="A149" s="91"/>
      <c r="B149" s="84"/>
      <c r="C149" s="97"/>
      <c r="D149" s="97"/>
      <c r="E149" s="97"/>
      <c r="F149" s="99"/>
      <c r="G149" s="97"/>
      <c r="H149" s="97"/>
      <c r="I149" s="100"/>
      <c r="J149" s="98"/>
      <c r="K149" s="98"/>
      <c r="L149" s="100"/>
      <c r="M149" s="98"/>
      <c r="N149" s="98"/>
    </row>
    <row r="150" spans="1:14" x14ac:dyDescent="0.25">
      <c r="A150" s="91"/>
      <c r="B150" s="84"/>
      <c r="C150" s="97"/>
      <c r="D150" s="97"/>
      <c r="E150" s="97"/>
      <c r="F150" s="99"/>
      <c r="G150" s="97"/>
      <c r="H150" s="97"/>
      <c r="I150" s="100"/>
      <c r="J150" s="98"/>
      <c r="K150" s="98"/>
      <c r="L150" s="100"/>
      <c r="M150" s="98"/>
      <c r="N150" s="98"/>
    </row>
    <row r="151" spans="1:14" x14ac:dyDescent="0.25">
      <c r="A151" s="91"/>
      <c r="B151" s="84"/>
      <c r="C151" s="97"/>
      <c r="D151" s="97"/>
      <c r="E151" s="97"/>
      <c r="F151" s="99"/>
      <c r="G151" s="97"/>
      <c r="H151" s="97"/>
      <c r="I151" s="100"/>
      <c r="J151" s="98"/>
      <c r="K151" s="98"/>
      <c r="L151" s="100"/>
      <c r="M151" s="98"/>
      <c r="N151" s="98"/>
    </row>
    <row r="152" spans="1:14" x14ac:dyDescent="0.25">
      <c r="A152" s="91"/>
      <c r="B152" s="84"/>
      <c r="C152" s="97"/>
      <c r="D152" s="97"/>
      <c r="E152" s="97"/>
      <c r="F152" s="99"/>
      <c r="G152" s="97"/>
      <c r="H152" s="97"/>
      <c r="I152" s="100"/>
      <c r="J152" s="98"/>
      <c r="K152" s="98"/>
      <c r="L152" s="100"/>
      <c r="M152" s="98"/>
      <c r="N152" s="98"/>
    </row>
    <row r="153" spans="1:14" x14ac:dyDescent="0.25">
      <c r="A153" s="91"/>
      <c r="B153" s="84"/>
      <c r="C153" s="97"/>
      <c r="D153" s="97"/>
      <c r="E153" s="97"/>
      <c r="F153" s="99"/>
      <c r="G153" s="97"/>
      <c r="H153" s="97"/>
      <c r="I153" s="100"/>
      <c r="J153" s="98"/>
      <c r="K153" s="98"/>
      <c r="L153" s="100"/>
      <c r="M153" s="98"/>
      <c r="N153" s="98"/>
    </row>
    <row r="154" spans="1:14" x14ac:dyDescent="0.25">
      <c r="A154" s="91"/>
      <c r="B154" s="84"/>
      <c r="C154" s="97"/>
      <c r="D154" s="97"/>
      <c r="E154" s="97"/>
      <c r="F154" s="99"/>
      <c r="G154" s="97"/>
      <c r="H154" s="97"/>
      <c r="I154" s="100"/>
      <c r="J154" s="98"/>
      <c r="K154" s="98"/>
      <c r="L154" s="100"/>
      <c r="M154" s="98"/>
      <c r="N154" s="98"/>
    </row>
    <row r="155" spans="1:14" x14ac:dyDescent="0.25">
      <c r="A155" s="91"/>
      <c r="B155" s="84"/>
      <c r="C155" s="97"/>
      <c r="D155" s="97"/>
      <c r="E155" s="97"/>
      <c r="F155" s="99"/>
      <c r="G155" s="97"/>
      <c r="H155" s="97"/>
      <c r="I155" s="100"/>
      <c r="J155" s="98"/>
      <c r="K155" s="98"/>
      <c r="L155" s="100"/>
      <c r="M155" s="98"/>
      <c r="N155" s="98"/>
    </row>
    <row r="156" spans="1:14" x14ac:dyDescent="0.25">
      <c r="A156" s="91"/>
      <c r="B156" s="84"/>
      <c r="C156" s="97"/>
      <c r="D156" s="97"/>
      <c r="E156" s="97"/>
      <c r="F156" s="99"/>
      <c r="G156" s="97"/>
      <c r="H156" s="97"/>
      <c r="I156" s="100"/>
      <c r="J156" s="98"/>
      <c r="K156" s="98"/>
      <c r="L156" s="100"/>
      <c r="M156" s="98"/>
      <c r="N156" s="98"/>
    </row>
    <row r="157" spans="1:14" x14ac:dyDescent="0.25">
      <c r="A157" s="91"/>
      <c r="B157" s="84"/>
      <c r="C157" s="97"/>
      <c r="D157" s="97"/>
      <c r="E157" s="97"/>
      <c r="F157" s="99"/>
      <c r="G157" s="97"/>
      <c r="H157" s="97"/>
      <c r="I157" s="100"/>
      <c r="J157" s="98"/>
      <c r="K157" s="98"/>
      <c r="L157" s="100"/>
      <c r="M157" s="98"/>
      <c r="N157" s="98"/>
    </row>
    <row r="158" spans="1:14" x14ac:dyDescent="0.25">
      <c r="A158" s="91"/>
      <c r="B158" s="84"/>
      <c r="C158" s="97"/>
      <c r="D158" s="97"/>
      <c r="E158" s="97"/>
      <c r="F158" s="99"/>
      <c r="G158" s="97"/>
      <c r="H158" s="97"/>
      <c r="I158" s="100"/>
      <c r="J158" s="98"/>
      <c r="K158" s="98"/>
      <c r="L158" s="100"/>
      <c r="M158" s="98"/>
      <c r="N158" s="98"/>
    </row>
    <row r="159" spans="1:14" x14ac:dyDescent="0.25">
      <c r="A159" s="91"/>
      <c r="B159" s="84"/>
      <c r="C159" s="97"/>
      <c r="D159" s="97"/>
      <c r="E159" s="97"/>
      <c r="F159" s="99"/>
      <c r="G159" s="97"/>
      <c r="H159" s="97"/>
      <c r="I159" s="100"/>
      <c r="J159" s="98"/>
      <c r="K159" s="98"/>
      <c r="L159" s="100"/>
      <c r="M159" s="98"/>
      <c r="N159" s="98"/>
    </row>
    <row r="160" spans="1:14" x14ac:dyDescent="0.25">
      <c r="A160" s="91"/>
      <c r="B160" s="84"/>
      <c r="C160" s="97"/>
      <c r="D160" s="97"/>
      <c r="E160" s="97"/>
      <c r="F160" s="99"/>
      <c r="G160" s="97"/>
      <c r="H160" s="97"/>
      <c r="I160" s="100"/>
      <c r="J160" s="98"/>
      <c r="K160" s="98"/>
      <c r="L160" s="100"/>
      <c r="M160" s="98"/>
      <c r="N160" s="98"/>
    </row>
    <row r="161" spans="1:14" x14ac:dyDescent="0.25">
      <c r="A161" s="91"/>
      <c r="B161" s="84"/>
      <c r="C161" s="97"/>
      <c r="D161" s="97"/>
      <c r="E161" s="97"/>
      <c r="F161" s="99"/>
      <c r="G161" s="97"/>
      <c r="H161" s="97"/>
      <c r="I161" s="100"/>
      <c r="J161" s="98"/>
      <c r="K161" s="98"/>
      <c r="L161" s="100"/>
      <c r="M161" s="98"/>
      <c r="N161" s="98"/>
    </row>
    <row r="162" spans="1:14" x14ac:dyDescent="0.25">
      <c r="A162" s="91"/>
      <c r="B162" s="84"/>
      <c r="C162" s="97"/>
      <c r="D162" s="97"/>
      <c r="E162" s="97"/>
      <c r="F162" s="99"/>
      <c r="G162" s="97"/>
      <c r="H162" s="97"/>
      <c r="I162" s="100"/>
      <c r="J162" s="98"/>
      <c r="K162" s="98"/>
      <c r="L162" s="100"/>
      <c r="M162" s="98"/>
      <c r="N162" s="98"/>
    </row>
    <row r="163" spans="1:14" x14ac:dyDescent="0.25">
      <c r="A163" s="91"/>
      <c r="B163" s="84"/>
      <c r="C163" s="97"/>
      <c r="D163" s="97"/>
      <c r="E163" s="97"/>
      <c r="F163" s="99"/>
      <c r="G163" s="97"/>
      <c r="H163" s="97"/>
      <c r="I163" s="100"/>
      <c r="J163" s="98"/>
      <c r="K163" s="98"/>
      <c r="L163" s="100"/>
      <c r="M163" s="98"/>
      <c r="N163" s="98"/>
    </row>
    <row r="164" spans="1:14" x14ac:dyDescent="0.25">
      <c r="A164" s="98"/>
      <c r="B164" s="84"/>
      <c r="C164" s="97"/>
      <c r="D164" s="97"/>
      <c r="E164" s="97"/>
      <c r="F164" s="99"/>
      <c r="G164" s="97"/>
      <c r="H164" s="97"/>
      <c r="I164" s="100"/>
      <c r="J164" s="98"/>
      <c r="K164" s="98"/>
      <c r="L164" s="100"/>
      <c r="M164" s="98"/>
      <c r="N164" s="98"/>
    </row>
    <row r="165" spans="1:14" x14ac:dyDescent="0.25">
      <c r="A165" s="98"/>
      <c r="B165" s="84"/>
      <c r="C165" s="97"/>
      <c r="D165" s="97"/>
      <c r="E165" s="97"/>
      <c r="F165" s="99"/>
      <c r="G165" s="97"/>
      <c r="H165" s="97"/>
      <c r="I165" s="100"/>
      <c r="J165" s="98"/>
      <c r="K165" s="98"/>
      <c r="L165" s="100"/>
      <c r="M165" s="98"/>
      <c r="N165" s="98"/>
    </row>
    <row r="166" spans="1:14" x14ac:dyDescent="0.25">
      <c r="A166" s="98"/>
      <c r="B166" s="84"/>
      <c r="C166" s="97"/>
      <c r="D166" s="97"/>
      <c r="E166" s="97"/>
      <c r="F166" s="99"/>
      <c r="G166" s="97"/>
      <c r="H166" s="97"/>
      <c r="I166" s="100"/>
      <c r="J166" s="98"/>
      <c r="K166" s="98"/>
      <c r="L166" s="100"/>
      <c r="M166" s="98"/>
      <c r="N166" s="98"/>
    </row>
    <row r="167" spans="1:14" x14ac:dyDescent="0.25">
      <c r="A167" s="98"/>
      <c r="B167" s="84"/>
      <c r="C167" s="97"/>
      <c r="D167" s="97"/>
      <c r="E167" s="97"/>
      <c r="F167" s="99"/>
      <c r="G167" s="97"/>
      <c r="H167" s="97"/>
      <c r="I167" s="100"/>
      <c r="J167" s="98"/>
      <c r="K167" s="98"/>
      <c r="L167" s="100"/>
      <c r="M167" s="98"/>
      <c r="N167" s="98"/>
    </row>
    <row r="168" spans="1:14" x14ac:dyDescent="0.25">
      <c r="A168" s="98"/>
      <c r="B168" s="84"/>
      <c r="C168" s="97"/>
      <c r="D168" s="97"/>
      <c r="E168" s="97"/>
      <c r="F168" s="99"/>
      <c r="G168" s="97"/>
      <c r="H168" s="97"/>
      <c r="I168" s="100"/>
      <c r="J168" s="98"/>
      <c r="K168" s="98"/>
      <c r="L168" s="100"/>
      <c r="M168" s="98"/>
      <c r="N168" s="98"/>
    </row>
    <row r="169" spans="1:14" x14ac:dyDescent="0.25">
      <c r="A169" s="98"/>
      <c r="B169" s="84"/>
      <c r="C169" s="97"/>
      <c r="D169" s="97"/>
      <c r="E169" s="97"/>
      <c r="F169" s="99"/>
      <c r="G169" s="97"/>
      <c r="H169" s="97"/>
      <c r="I169" s="100"/>
      <c r="J169" s="98"/>
      <c r="K169" s="98"/>
      <c r="L169" s="100"/>
      <c r="M169" s="98"/>
      <c r="N169" s="98"/>
    </row>
    <row r="170" spans="1:14" x14ac:dyDescent="0.25">
      <c r="A170" s="98"/>
      <c r="B170" s="84"/>
      <c r="C170" s="97"/>
      <c r="D170" s="97"/>
      <c r="E170" s="97"/>
      <c r="F170" s="99"/>
      <c r="G170" s="97"/>
      <c r="H170" s="97"/>
      <c r="I170" s="100"/>
      <c r="J170" s="98"/>
      <c r="K170" s="98"/>
      <c r="L170" s="100"/>
      <c r="M170" s="98"/>
      <c r="N170" s="98"/>
    </row>
    <row r="171" spans="1:14" x14ac:dyDescent="0.25">
      <c r="A171" s="98"/>
      <c r="B171" s="84"/>
      <c r="C171" s="97"/>
      <c r="D171" s="97"/>
      <c r="E171" s="97"/>
      <c r="F171" s="99"/>
      <c r="G171" s="97"/>
      <c r="H171" s="97"/>
      <c r="I171" s="100"/>
      <c r="J171" s="98"/>
      <c r="K171" s="98"/>
      <c r="L171" s="100"/>
      <c r="M171" s="98"/>
      <c r="N171" s="98"/>
    </row>
    <row r="172" spans="1:14" x14ac:dyDescent="0.25">
      <c r="A172" s="98"/>
      <c r="B172" s="84"/>
      <c r="C172" s="97"/>
      <c r="D172" s="97"/>
      <c r="E172" s="97"/>
      <c r="F172" s="99"/>
      <c r="G172" s="97"/>
      <c r="H172" s="97"/>
      <c r="I172" s="100"/>
      <c r="J172" s="98"/>
      <c r="K172" s="98"/>
      <c r="L172" s="100"/>
      <c r="M172" s="98"/>
      <c r="N172" s="98"/>
    </row>
    <row r="173" spans="1:14" x14ac:dyDescent="0.25">
      <c r="A173" s="98"/>
      <c r="B173" s="84"/>
      <c r="C173" s="97"/>
      <c r="D173" s="97"/>
      <c r="E173" s="97"/>
      <c r="F173" s="99"/>
      <c r="G173" s="97"/>
      <c r="H173" s="97"/>
      <c r="I173" s="100"/>
      <c r="J173" s="98"/>
      <c r="K173" s="98"/>
      <c r="L173" s="100"/>
      <c r="M173" s="98"/>
      <c r="N173" s="98"/>
    </row>
    <row r="174" spans="1:14" x14ac:dyDescent="0.25">
      <c r="A174" s="98"/>
      <c r="B174" s="84"/>
      <c r="C174" s="97"/>
      <c r="D174" s="97"/>
      <c r="E174" s="97"/>
      <c r="F174" s="99"/>
      <c r="G174" s="97"/>
      <c r="H174" s="97"/>
      <c r="I174" s="100"/>
      <c r="J174" s="98"/>
      <c r="K174" s="98"/>
      <c r="L174" s="100"/>
      <c r="M174" s="98"/>
      <c r="N174" s="98"/>
    </row>
    <row r="175" spans="1:14" x14ac:dyDescent="0.25">
      <c r="A175" s="98"/>
      <c r="B175" s="84"/>
      <c r="C175" s="97"/>
      <c r="D175" s="97"/>
      <c r="E175" s="97"/>
      <c r="F175" s="99"/>
      <c r="G175" s="97"/>
      <c r="H175" s="97"/>
      <c r="I175" s="100"/>
      <c r="J175" s="98"/>
      <c r="K175" s="98"/>
      <c r="L175" s="100"/>
      <c r="M175" s="98"/>
      <c r="N175" s="98"/>
    </row>
    <row r="176" spans="1:14" x14ac:dyDescent="0.25">
      <c r="A176" s="98"/>
      <c r="B176" s="84"/>
      <c r="C176" s="97"/>
      <c r="D176" s="97"/>
      <c r="E176" s="97"/>
      <c r="F176" s="99"/>
      <c r="G176" s="97"/>
      <c r="H176" s="97"/>
      <c r="I176" s="100"/>
      <c r="J176" s="98"/>
      <c r="K176" s="98"/>
      <c r="L176" s="100"/>
      <c r="M176" s="98"/>
      <c r="N176" s="98"/>
    </row>
    <row r="177" spans="1:14" x14ac:dyDescent="0.25">
      <c r="A177" s="98"/>
      <c r="B177" s="84"/>
      <c r="C177" s="97"/>
      <c r="D177" s="97"/>
      <c r="E177" s="97"/>
      <c r="F177" s="99"/>
      <c r="G177" s="97"/>
      <c r="H177" s="97"/>
      <c r="I177" s="100"/>
      <c r="J177" s="98"/>
      <c r="K177" s="98"/>
      <c r="L177" s="100"/>
      <c r="M177" s="98"/>
      <c r="N177" s="98"/>
    </row>
    <row r="178" spans="1:14" x14ac:dyDescent="0.25">
      <c r="A178" s="98"/>
      <c r="B178" s="84"/>
      <c r="C178" s="97"/>
      <c r="D178" s="97"/>
      <c r="E178" s="97"/>
      <c r="F178" s="99"/>
      <c r="G178" s="97"/>
      <c r="H178" s="97"/>
      <c r="I178" s="100"/>
      <c r="J178" s="98"/>
      <c r="K178" s="98"/>
      <c r="L178" s="100"/>
      <c r="M178" s="98"/>
      <c r="N178" s="98"/>
    </row>
    <row r="179" spans="1:14" x14ac:dyDescent="0.25">
      <c r="A179" s="98"/>
      <c r="B179" s="84"/>
      <c r="C179" s="97"/>
      <c r="D179" s="97"/>
      <c r="E179" s="97"/>
      <c r="F179" s="99"/>
      <c r="G179" s="97"/>
      <c r="H179" s="97"/>
      <c r="I179" s="100"/>
      <c r="J179" s="98"/>
      <c r="K179" s="98"/>
      <c r="L179" s="100"/>
      <c r="M179" s="98"/>
      <c r="N179" s="98"/>
    </row>
    <row r="180" spans="1:14" x14ac:dyDescent="0.25">
      <c r="A180" s="98"/>
      <c r="B180" s="84"/>
      <c r="C180" s="97"/>
      <c r="D180" s="97"/>
      <c r="E180" s="97"/>
      <c r="F180" s="99"/>
      <c r="G180" s="97"/>
      <c r="H180" s="97"/>
      <c r="I180" s="100"/>
      <c r="J180" s="98"/>
      <c r="K180" s="98"/>
      <c r="L180" s="100"/>
      <c r="M180" s="98"/>
      <c r="N180" s="98"/>
    </row>
    <row r="181" spans="1:14" x14ac:dyDescent="0.25">
      <c r="A181" s="98"/>
      <c r="B181" s="84"/>
      <c r="C181" s="97"/>
      <c r="D181" s="97"/>
      <c r="E181" s="97"/>
      <c r="F181" s="99"/>
      <c r="G181" s="97"/>
      <c r="H181" s="97"/>
      <c r="I181" s="100"/>
      <c r="J181" s="98"/>
      <c r="K181" s="98"/>
      <c r="L181" s="100"/>
      <c r="M181" s="98"/>
      <c r="N181" s="98"/>
    </row>
    <row r="182" spans="1:14" x14ac:dyDescent="0.25">
      <c r="A182" s="98"/>
      <c r="B182" s="84"/>
      <c r="C182" s="97"/>
      <c r="D182" s="97"/>
      <c r="E182" s="97"/>
      <c r="F182" s="99"/>
      <c r="G182" s="97"/>
      <c r="H182" s="97"/>
      <c r="I182" s="100"/>
      <c r="J182" s="98"/>
      <c r="K182" s="98"/>
      <c r="L182" s="100"/>
      <c r="M182" s="98"/>
      <c r="N182" s="98"/>
    </row>
    <row r="183" spans="1:14" x14ac:dyDescent="0.25">
      <c r="A183" s="98"/>
      <c r="B183" s="84"/>
      <c r="C183" s="97"/>
      <c r="D183" s="97"/>
      <c r="E183" s="97"/>
      <c r="F183" s="99"/>
      <c r="G183" s="97"/>
      <c r="H183" s="97"/>
      <c r="I183" s="100"/>
      <c r="J183" s="98"/>
      <c r="K183" s="98"/>
      <c r="L183" s="100"/>
      <c r="M183" s="98"/>
      <c r="N183" s="98"/>
    </row>
    <row r="184" spans="1:14" x14ac:dyDescent="0.25">
      <c r="A184" s="98"/>
      <c r="B184" s="84"/>
      <c r="C184" s="97"/>
      <c r="D184" s="97"/>
      <c r="E184" s="97"/>
      <c r="F184" s="99"/>
      <c r="G184" s="97"/>
      <c r="H184" s="97"/>
      <c r="I184" s="100"/>
      <c r="J184" s="98"/>
      <c r="K184" s="98"/>
      <c r="L184" s="100"/>
      <c r="M184" s="98"/>
      <c r="N184" s="98"/>
    </row>
    <row r="185" spans="1:14" x14ac:dyDescent="0.25">
      <c r="A185" s="98"/>
      <c r="B185" s="84"/>
      <c r="C185" s="97"/>
      <c r="D185" s="97"/>
      <c r="E185" s="97"/>
      <c r="F185" s="99"/>
      <c r="G185" s="97"/>
      <c r="H185" s="97"/>
      <c r="I185" s="100"/>
      <c r="J185" s="98"/>
      <c r="K185" s="98"/>
      <c r="L185" s="100"/>
      <c r="M185" s="98"/>
      <c r="N185" s="98"/>
    </row>
    <row r="186" spans="1:14" x14ac:dyDescent="0.25">
      <c r="A186" s="98"/>
      <c r="B186" s="84"/>
      <c r="C186" s="97"/>
      <c r="D186" s="97"/>
      <c r="E186" s="97"/>
      <c r="F186" s="99"/>
      <c r="G186" s="97"/>
      <c r="H186" s="97"/>
      <c r="I186" s="100"/>
      <c r="J186" s="98"/>
      <c r="K186" s="98"/>
      <c r="L186" s="100"/>
      <c r="M186" s="98"/>
      <c r="N186" s="98"/>
    </row>
    <row r="187" spans="1:14" x14ac:dyDescent="0.25">
      <c r="A187" s="98"/>
      <c r="B187" s="84"/>
      <c r="C187" s="97"/>
      <c r="D187" s="97"/>
      <c r="E187" s="97"/>
      <c r="F187" s="99"/>
      <c r="G187" s="97"/>
      <c r="H187" s="97"/>
      <c r="I187" s="100"/>
      <c r="J187" s="98"/>
      <c r="K187" s="98"/>
      <c r="L187" s="100"/>
      <c r="M187" s="98"/>
      <c r="N187" s="98"/>
    </row>
    <row r="188" spans="1:14" x14ac:dyDescent="0.25">
      <c r="A188" s="98"/>
      <c r="B188" s="84"/>
      <c r="C188" s="97"/>
      <c r="D188" s="97"/>
      <c r="E188" s="97"/>
      <c r="F188" s="99"/>
      <c r="G188" s="97"/>
      <c r="H188" s="97"/>
      <c r="I188" s="100"/>
      <c r="J188" s="98"/>
      <c r="K188" s="98"/>
      <c r="L188" s="100"/>
      <c r="M188" s="98"/>
      <c r="N188" s="98"/>
    </row>
    <row r="189" spans="1:14" x14ac:dyDescent="0.25">
      <c r="A189" s="98"/>
      <c r="B189" s="84"/>
      <c r="C189" s="97"/>
      <c r="D189" s="97"/>
      <c r="E189" s="97"/>
      <c r="F189" s="99"/>
      <c r="G189" s="97"/>
      <c r="H189" s="97"/>
      <c r="I189" s="100"/>
      <c r="J189" s="98"/>
      <c r="K189" s="98"/>
      <c r="L189" s="100"/>
      <c r="M189" s="98"/>
      <c r="N189" s="98"/>
    </row>
    <row r="190" spans="1:14" x14ac:dyDescent="0.25">
      <c r="A190" s="98"/>
      <c r="B190" s="84"/>
      <c r="C190" s="97"/>
      <c r="D190" s="97"/>
      <c r="E190" s="97"/>
      <c r="F190" s="99"/>
      <c r="G190" s="97"/>
      <c r="H190" s="97"/>
      <c r="I190" s="100"/>
      <c r="J190" s="98"/>
      <c r="K190" s="98"/>
      <c r="L190" s="100"/>
      <c r="M190" s="98"/>
      <c r="N190" s="98"/>
    </row>
    <row r="191" spans="1:14" x14ac:dyDescent="0.25">
      <c r="A191" s="98"/>
      <c r="B191" s="84"/>
      <c r="C191" s="97"/>
      <c r="D191" s="97"/>
      <c r="E191" s="97"/>
      <c r="F191" s="99"/>
      <c r="G191" s="97"/>
      <c r="H191" s="97"/>
      <c r="I191" s="100"/>
      <c r="J191" s="98"/>
      <c r="K191" s="98"/>
      <c r="L191" s="100"/>
      <c r="M191" s="98"/>
      <c r="N191" s="98"/>
    </row>
    <row r="192" spans="1:14" x14ac:dyDescent="0.25">
      <c r="A192" s="98"/>
      <c r="B192" s="84"/>
      <c r="C192" s="97"/>
      <c r="D192" s="97"/>
      <c r="E192" s="97"/>
      <c r="F192" s="99"/>
      <c r="G192" s="97"/>
      <c r="H192" s="97"/>
      <c r="I192" s="100"/>
      <c r="J192" s="98"/>
      <c r="K192" s="98"/>
      <c r="L192" s="100"/>
      <c r="M192" s="98"/>
      <c r="N192" s="98"/>
    </row>
    <row r="193" spans="1:14" x14ac:dyDescent="0.25">
      <c r="A193" s="98"/>
      <c r="B193" s="84"/>
      <c r="C193" s="97"/>
      <c r="D193" s="97"/>
      <c r="E193" s="97"/>
      <c r="F193" s="99"/>
      <c r="G193" s="97"/>
      <c r="H193" s="97"/>
      <c r="I193" s="100"/>
      <c r="J193" s="98"/>
      <c r="K193" s="98"/>
      <c r="L193" s="100"/>
      <c r="M193" s="98"/>
      <c r="N193" s="98"/>
    </row>
    <row r="194" spans="1:14" x14ac:dyDescent="0.25">
      <c r="A194" s="98"/>
      <c r="B194" s="84"/>
      <c r="C194" s="97"/>
      <c r="D194" s="97"/>
      <c r="E194" s="97"/>
      <c r="F194" s="99"/>
      <c r="G194" s="97"/>
      <c r="H194" s="97"/>
      <c r="I194" s="100"/>
      <c r="J194" s="98"/>
      <c r="K194" s="98"/>
      <c r="L194" s="100"/>
      <c r="M194" s="98"/>
      <c r="N194" s="98"/>
    </row>
    <row r="195" spans="1:14" x14ac:dyDescent="0.25">
      <c r="A195" s="98"/>
      <c r="B195" s="84"/>
      <c r="C195" s="97"/>
      <c r="D195" s="97"/>
      <c r="E195" s="97"/>
      <c r="F195" s="99"/>
      <c r="G195" s="97"/>
      <c r="H195" s="97"/>
      <c r="I195" s="100"/>
      <c r="J195" s="98"/>
      <c r="K195" s="98"/>
      <c r="L195" s="100"/>
      <c r="M195" s="98"/>
      <c r="N195" s="98"/>
    </row>
    <row r="196" spans="1:14" x14ac:dyDescent="0.25">
      <c r="A196" s="98"/>
      <c r="B196" s="84"/>
      <c r="C196" s="97"/>
      <c r="D196" s="97"/>
      <c r="E196" s="97"/>
      <c r="F196" s="99"/>
      <c r="G196" s="97"/>
      <c r="H196" s="97"/>
      <c r="I196" s="100"/>
      <c r="J196" s="98"/>
      <c r="K196" s="98"/>
      <c r="L196" s="100"/>
      <c r="M196" s="98"/>
      <c r="N196" s="98"/>
    </row>
    <row r="197" spans="1:14" x14ac:dyDescent="0.25">
      <c r="A197" s="98"/>
      <c r="B197" s="84"/>
      <c r="C197" s="97"/>
      <c r="D197" s="97"/>
      <c r="E197" s="97"/>
      <c r="F197" s="99"/>
      <c r="I197" s="100"/>
      <c r="J197" s="98"/>
      <c r="K197" s="98"/>
      <c r="L197" s="100"/>
      <c r="M197" s="98"/>
      <c r="N197" s="98"/>
    </row>
    <row r="198" spans="1:14" x14ac:dyDescent="0.25">
      <c r="A198" s="98"/>
      <c r="B198" s="84"/>
      <c r="C198" s="97"/>
      <c r="D198" s="97"/>
      <c r="E198" s="97"/>
      <c r="F198" s="99"/>
      <c r="I198" s="100"/>
      <c r="J198" s="98"/>
      <c r="K198" s="98"/>
      <c r="L198" s="100"/>
      <c r="M198" s="98"/>
      <c r="N198" s="98"/>
    </row>
    <row r="199" spans="1:14" x14ac:dyDescent="0.25">
      <c r="A199" s="98"/>
      <c r="B199" s="84"/>
      <c r="C199" s="97"/>
      <c r="D199" s="97"/>
      <c r="E199" s="97"/>
      <c r="F199" s="99"/>
      <c r="I199" s="100"/>
      <c r="J199" s="98"/>
      <c r="K199" s="98"/>
      <c r="L199" s="100"/>
      <c r="M199" s="98"/>
      <c r="N199" s="98"/>
    </row>
    <row r="200" spans="1:14" x14ac:dyDescent="0.25">
      <c r="A200" s="98"/>
      <c r="B200" s="84"/>
      <c r="C200" s="97"/>
      <c r="D200" s="97"/>
      <c r="E200" s="97"/>
      <c r="F200" s="99"/>
      <c r="I200" s="100"/>
      <c r="J200" s="98"/>
      <c r="K200" s="98"/>
      <c r="L200" s="100"/>
      <c r="M200" s="98"/>
      <c r="N200" s="98"/>
    </row>
    <row r="201" spans="1:14" x14ac:dyDescent="0.25">
      <c r="A201" s="98"/>
      <c r="B201" s="84"/>
      <c r="F201" s="99"/>
      <c r="I201" s="100"/>
      <c r="J201" s="98"/>
      <c r="K201" s="98"/>
      <c r="L201" s="100"/>
      <c r="M201" s="98"/>
      <c r="N201" s="98"/>
    </row>
  </sheetData>
  <sheetProtection algorithmName="SHA-512" hashValue="lIrA2Cj5i6t6Iz4wMuWX17l5uMW+OJTDzg0szO03lTjab/GQvHufVofp5OPS971DuWJHyDyiAcgkOdib30lr7A==" saltValue="D0hBdTXoBvaPXBFBNoktyQ==" spinCount="100000" sheet="1" formatCells="0" formatColumns="0" formatRows="0" insertColumns="0" insertRows="0" insertHyperlinks="0" deleteColumns="0" deleteRows="0" sort="0" autoFilter="0" pivotTables="0"/>
  <phoneticPr fontId="1" type="noConversion"/>
  <conditionalFormatting sqref="A2:A69">
    <cfRule type="duplicateValues" dxfId="21" priority="11"/>
  </conditionalFormatting>
  <conditionalFormatting sqref="A69:A70">
    <cfRule type="duplicateValues" dxfId="20" priority="10"/>
  </conditionalFormatting>
  <conditionalFormatting sqref="A70:A138">
    <cfRule type="duplicateValues" dxfId="19" priority="9"/>
  </conditionalFormatting>
  <conditionalFormatting sqref="A139:A142">
    <cfRule type="duplicateValues" dxfId="18" priority="8"/>
  </conditionalFormatting>
  <conditionalFormatting sqref="A140">
    <cfRule type="duplicateValues" dxfId="17" priority="6"/>
  </conditionalFormatting>
  <conditionalFormatting sqref="A14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</conditionalFormatting>
  <conditionalFormatting sqref="A142 A139">
    <cfRule type="duplicateValues" dxfId="11" priority="7"/>
  </conditionalFormatting>
  <conditionalFormatting sqref="A143:A163">
    <cfRule type="duplicateValues" dxfId="10" priority="28"/>
  </conditionalFormatting>
  <conditionalFormatting sqref="C1">
    <cfRule type="duplicateValues" dxfId="9" priority="59"/>
  </conditionalFormatting>
  <conditionalFormatting sqref="C2:C5 C12:C13">
    <cfRule type="duplicateValues" dxfId="8" priority="17"/>
  </conditionalFormatting>
  <conditionalFormatting sqref="C14:C15">
    <cfRule type="duplicateValues" dxfId="7" priority="18"/>
  </conditionalFormatting>
  <conditionalFormatting sqref="C1:D86 C88:D1048576 C87">
    <cfRule type="duplicateValues" dxfId="6" priority="15"/>
  </conditionalFormatting>
  <conditionalFormatting sqref="C2:D86 C87">
    <cfRule type="duplicateValues" dxfId="5" priority="13"/>
  </conditionalFormatting>
  <conditionalFormatting sqref="G14">
    <cfRule type="duplicateValues" dxfId="4" priority="20"/>
  </conditionalFormatting>
  <conditionalFormatting sqref="G1:H1048576">
    <cfRule type="duplicateValues" dxfId="3" priority="14"/>
  </conditionalFormatting>
  <conditionalFormatting sqref="H14">
    <cfRule type="duplicateValues" dxfId="2" priority="19"/>
  </conditionalFormatting>
  <conditionalFormatting sqref="J1:J1048576">
    <cfRule type="duplicateValues" dxfId="1" priority="12"/>
  </conditionalFormatting>
  <conditionalFormatting sqref="J2:K34">
    <cfRule type="duplicateValues" dxfId="0" priority="16"/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4C09-514A-4D84-A919-1AE228E7E8B1}">
  <sheetPr codeName="Sheet4"/>
  <dimension ref="A1:T62"/>
  <sheetViews>
    <sheetView zoomScaleNormal="100" workbookViewId="0">
      <selection activeCell="M25" sqref="M25"/>
    </sheetView>
  </sheetViews>
  <sheetFormatPr defaultColWidth="9" defaultRowHeight="17.399999999999999" x14ac:dyDescent="0.25"/>
  <cols>
    <col min="1" max="1" width="13.8984375" style="20" bestFit="1" customWidth="1"/>
    <col min="2" max="2" width="8" style="20" bestFit="1" customWidth="1"/>
    <col min="3" max="3" width="48.5" style="20" customWidth="1"/>
    <col min="4" max="4" width="8.5" style="20" bestFit="1" customWidth="1"/>
    <col min="5" max="5" width="12.19921875" style="20" bestFit="1" customWidth="1"/>
    <col min="6" max="6" width="18" style="20" bestFit="1" customWidth="1"/>
    <col min="7" max="7" width="12.19921875" style="21" bestFit="1" customWidth="1"/>
    <col min="8" max="8" width="13" style="21" customWidth="1"/>
    <col min="9" max="9" width="10.3984375" style="20" customWidth="1"/>
    <col min="10" max="10" width="11.59765625" style="22" bestFit="1" customWidth="1"/>
    <col min="11" max="11" width="11.8984375" style="22" bestFit="1" customWidth="1"/>
    <col min="12" max="12" width="13.59765625" style="22" bestFit="1" customWidth="1"/>
    <col min="13" max="13" width="12.19921875" style="22" bestFit="1" customWidth="1"/>
    <col min="14" max="14" width="5" style="22" bestFit="1" customWidth="1"/>
    <col min="15" max="15" width="6.69921875" style="22" bestFit="1" customWidth="1"/>
    <col min="16" max="16" width="9" style="20"/>
    <col min="17" max="17" width="10.19921875" style="20" customWidth="1"/>
    <col min="18" max="18" width="13.69921875" style="20" customWidth="1"/>
    <col min="19" max="19" width="17" style="20" customWidth="1"/>
    <col min="20" max="20" width="13.59765625" style="28" bestFit="1" customWidth="1"/>
    <col min="21" max="16384" width="9" style="20"/>
  </cols>
  <sheetData>
    <row r="1" spans="1:19" ht="19.8" x14ac:dyDescent="0.25">
      <c r="A1" s="17" t="s">
        <v>638</v>
      </c>
      <c r="B1" s="18"/>
      <c r="C1" s="18"/>
      <c r="D1" s="19"/>
      <c r="Q1" s="23" t="s">
        <v>636</v>
      </c>
      <c r="R1" s="23" t="s">
        <v>637</v>
      </c>
      <c r="S1" s="23" t="s">
        <v>629</v>
      </c>
    </row>
    <row r="2" spans="1:19" x14ac:dyDescent="0.25">
      <c r="A2" s="24" t="s">
        <v>639</v>
      </c>
      <c r="B2" s="212" t="s">
        <v>640</v>
      </c>
      <c r="C2" s="213"/>
      <c r="Q2" s="25" t="s">
        <v>684</v>
      </c>
      <c r="R2" s="25" t="s">
        <v>630</v>
      </c>
      <c r="S2" s="25" t="str">
        <f t="shared" ref="S2:S7" si="0">$Q$2&amp;R2</f>
        <v>1 x TE  10uM</v>
      </c>
    </row>
    <row r="3" spans="1:19" x14ac:dyDescent="0.45">
      <c r="A3" s="26"/>
      <c r="B3" s="214" t="s">
        <v>641</v>
      </c>
      <c r="C3" s="215"/>
      <c r="Q3" s="25" t="s">
        <v>685</v>
      </c>
      <c r="R3" s="25" t="s">
        <v>631</v>
      </c>
      <c r="S3" s="25" t="str">
        <f t="shared" si="0"/>
        <v>1 x TE  20uM</v>
      </c>
    </row>
    <row r="4" spans="1:19" x14ac:dyDescent="0.45">
      <c r="A4" s="26" t="s">
        <v>287</v>
      </c>
      <c r="B4" s="214" t="s">
        <v>642</v>
      </c>
      <c r="C4" s="215"/>
      <c r="Q4" s="25" t="s">
        <v>643</v>
      </c>
      <c r="R4" s="25" t="s">
        <v>632</v>
      </c>
      <c r="S4" s="25" t="str">
        <f t="shared" si="0"/>
        <v>1 x TE  50uM</v>
      </c>
    </row>
    <row r="5" spans="1:19" x14ac:dyDescent="0.45">
      <c r="A5" s="26" t="s">
        <v>288</v>
      </c>
      <c r="B5" s="214" t="s">
        <v>644</v>
      </c>
      <c r="C5" s="215"/>
      <c r="Q5" s="25" t="s">
        <v>645</v>
      </c>
      <c r="R5" s="25" t="s">
        <v>633</v>
      </c>
      <c r="S5" s="25" t="str">
        <f t="shared" si="0"/>
        <v>1 x TE  100uM</v>
      </c>
    </row>
    <row r="6" spans="1:19" x14ac:dyDescent="0.45">
      <c r="A6" s="26" t="s">
        <v>289</v>
      </c>
      <c r="B6" s="214" t="s">
        <v>646</v>
      </c>
      <c r="C6" s="215"/>
      <c r="Q6" s="25"/>
      <c r="R6" s="25" t="s">
        <v>634</v>
      </c>
      <c r="S6" s="25" t="str">
        <f t="shared" si="0"/>
        <v>1 x TE  200uM</v>
      </c>
    </row>
    <row r="7" spans="1:19" x14ac:dyDescent="0.45">
      <c r="A7" s="26" t="s">
        <v>290</v>
      </c>
      <c r="B7" s="214" t="s">
        <v>647</v>
      </c>
      <c r="C7" s="215"/>
      <c r="Q7" s="25"/>
      <c r="R7" s="25" t="s">
        <v>635</v>
      </c>
      <c r="S7" s="25" t="str">
        <f t="shared" si="0"/>
        <v>1 x TE  500uM</v>
      </c>
    </row>
    <row r="8" spans="1:19" x14ac:dyDescent="0.45">
      <c r="A8" s="26" t="s">
        <v>291</v>
      </c>
      <c r="B8" s="214" t="s">
        <v>648</v>
      </c>
      <c r="C8" s="215"/>
      <c r="Q8" s="25"/>
      <c r="R8" s="25"/>
      <c r="S8" s="25" t="str">
        <f t="shared" ref="S8:S13" si="1">$Q$3&amp;R2</f>
        <v>1 x LOW TE  10uM</v>
      </c>
    </row>
    <row r="9" spans="1:19" x14ac:dyDescent="0.45">
      <c r="A9" s="26" t="s">
        <v>292</v>
      </c>
      <c r="B9" s="214" t="s">
        <v>649</v>
      </c>
      <c r="C9" s="215"/>
      <c r="Q9" s="25"/>
      <c r="R9" s="25"/>
      <c r="S9" s="25" t="str">
        <f t="shared" si="1"/>
        <v>1 x LOW TE  20uM</v>
      </c>
    </row>
    <row r="10" spans="1:19" x14ac:dyDescent="0.45">
      <c r="A10" s="26" t="s">
        <v>293</v>
      </c>
      <c r="B10" s="214" t="s">
        <v>650</v>
      </c>
      <c r="C10" s="215"/>
      <c r="Q10" s="25"/>
      <c r="R10" s="25"/>
      <c r="S10" s="25" t="str">
        <f t="shared" si="1"/>
        <v>1 x LOW TE  50uM</v>
      </c>
    </row>
    <row r="11" spans="1:19" x14ac:dyDescent="0.45">
      <c r="A11" s="26" t="s">
        <v>294</v>
      </c>
      <c r="B11" s="214" t="s">
        <v>651</v>
      </c>
      <c r="C11" s="215"/>
      <c r="Q11" s="25"/>
      <c r="R11" s="25"/>
      <c r="S11" s="25" t="str">
        <f t="shared" si="1"/>
        <v>1 x LOW TE  100uM</v>
      </c>
    </row>
    <row r="12" spans="1:19" x14ac:dyDescent="0.25">
      <c r="Q12" s="25"/>
      <c r="R12" s="25"/>
      <c r="S12" s="25" t="str">
        <f t="shared" si="1"/>
        <v>1 x LOW TE  200uM</v>
      </c>
    </row>
    <row r="13" spans="1:19" x14ac:dyDescent="0.25">
      <c r="A13" s="27" t="s">
        <v>652</v>
      </c>
      <c r="B13" s="28"/>
      <c r="C13" s="28"/>
      <c r="D13" s="28"/>
      <c r="E13" s="28"/>
      <c r="Q13" s="25"/>
      <c r="R13" s="25"/>
      <c r="S13" s="25" t="str">
        <f t="shared" si="1"/>
        <v>1 x LOW TE  500uM</v>
      </c>
    </row>
    <row r="14" spans="1:19" x14ac:dyDescent="0.45">
      <c r="A14" s="29" t="s">
        <v>653</v>
      </c>
      <c r="B14" s="216"/>
      <c r="C14" s="216"/>
      <c r="D14" s="216"/>
      <c r="E14" s="216"/>
      <c r="Q14" s="25"/>
      <c r="R14" s="25"/>
      <c r="S14" s="25" t="str">
        <f t="shared" ref="S14:S19" si="2">$Q$4&amp;R2</f>
        <v>dd H20  10uM</v>
      </c>
    </row>
    <row r="15" spans="1:19" x14ac:dyDescent="0.45">
      <c r="A15" s="30" t="s">
        <v>654</v>
      </c>
      <c r="B15" s="209" t="s">
        <v>628</v>
      </c>
      <c r="C15" s="210"/>
      <c r="D15" s="210"/>
      <c r="E15" s="211"/>
      <c r="F15" s="31"/>
      <c r="G15" s="32"/>
      <c r="H15" s="32"/>
      <c r="I15" s="31"/>
      <c r="J15" s="33"/>
      <c r="K15" s="33"/>
      <c r="L15" s="33"/>
      <c r="M15" s="33"/>
      <c r="N15" s="33"/>
      <c r="O15" s="33"/>
      <c r="Q15" s="25"/>
      <c r="R15" s="25"/>
      <c r="S15" s="25" t="str">
        <f t="shared" si="2"/>
        <v>dd H20  20uM</v>
      </c>
    </row>
    <row r="16" spans="1:19" x14ac:dyDescent="0.25">
      <c r="A16" s="34" t="s">
        <v>2</v>
      </c>
      <c r="B16" s="35" t="s">
        <v>3</v>
      </c>
      <c r="C16" s="35" t="s">
        <v>4</v>
      </c>
      <c r="D16" s="35" t="s">
        <v>5</v>
      </c>
      <c r="E16" s="35" t="s">
        <v>6</v>
      </c>
      <c r="F16" s="36" t="s">
        <v>7</v>
      </c>
      <c r="G16" s="36" t="s">
        <v>8</v>
      </c>
      <c r="H16" s="37" t="s">
        <v>655</v>
      </c>
      <c r="I16" s="37" t="s">
        <v>9</v>
      </c>
      <c r="J16" s="38" t="s">
        <v>10</v>
      </c>
      <c r="K16" s="38" t="s">
        <v>11</v>
      </c>
      <c r="L16" s="34" t="s">
        <v>12</v>
      </c>
      <c r="M16" s="34" t="s">
        <v>13</v>
      </c>
      <c r="N16" s="36" t="s">
        <v>14</v>
      </c>
      <c r="O16" s="39" t="s">
        <v>15</v>
      </c>
      <c r="Q16" s="25"/>
      <c r="R16" s="25"/>
      <c r="S16" s="25" t="str">
        <f t="shared" si="2"/>
        <v>dd H20  50uM</v>
      </c>
    </row>
    <row r="17" spans="1:19" x14ac:dyDescent="0.25">
      <c r="A17" s="40"/>
      <c r="B17" s="41"/>
      <c r="C17" s="42"/>
      <c r="D17" s="43" t="s">
        <v>295</v>
      </c>
      <c r="E17" s="44"/>
      <c r="F17" s="44"/>
      <c r="G17" s="45"/>
      <c r="H17" s="45"/>
      <c r="I17" s="40"/>
      <c r="J17" s="46" t="s">
        <v>718</v>
      </c>
      <c r="K17" s="46" t="s">
        <v>657</v>
      </c>
      <c r="L17" s="46"/>
      <c r="M17" s="46"/>
      <c r="N17" s="36"/>
      <c r="O17" s="47">
        <v>0</v>
      </c>
      <c r="Q17" s="25"/>
      <c r="R17" s="25"/>
      <c r="S17" s="25" t="str">
        <f t="shared" si="2"/>
        <v>dd H20  100uM</v>
      </c>
    </row>
    <row r="18" spans="1:19" x14ac:dyDescent="0.25">
      <c r="A18" s="48"/>
      <c r="B18" s="48"/>
      <c r="C18" s="49"/>
      <c r="D18" s="43" t="s">
        <v>296</v>
      </c>
      <c r="E18" s="44"/>
      <c r="F18" s="44"/>
      <c r="G18" s="50"/>
      <c r="H18" s="50"/>
      <c r="I18" s="48"/>
      <c r="J18" s="46" t="s">
        <v>718</v>
      </c>
      <c r="K18" s="46" t="s">
        <v>657</v>
      </c>
      <c r="L18" s="46"/>
      <c r="M18" s="46"/>
      <c r="N18" s="36"/>
      <c r="O18" s="47">
        <v>0</v>
      </c>
      <c r="Q18" s="25"/>
      <c r="R18" s="25"/>
      <c r="S18" s="25" t="str">
        <f t="shared" si="2"/>
        <v>dd H20  200uM</v>
      </c>
    </row>
    <row r="19" spans="1:19" x14ac:dyDescent="0.25">
      <c r="A19" s="48"/>
      <c r="B19" s="48"/>
      <c r="C19" s="49"/>
      <c r="D19" s="43" t="s">
        <v>297</v>
      </c>
      <c r="E19" s="44"/>
      <c r="F19" s="44"/>
      <c r="G19" s="50"/>
      <c r="H19" s="50"/>
      <c r="I19" s="48"/>
      <c r="J19" s="46" t="s">
        <v>718</v>
      </c>
      <c r="K19" s="46" t="s">
        <v>657</v>
      </c>
      <c r="L19" s="46"/>
      <c r="M19" s="46"/>
      <c r="N19" s="36"/>
      <c r="O19" s="47">
        <v>0</v>
      </c>
      <c r="Q19" s="25"/>
      <c r="R19" s="25"/>
      <c r="S19" s="25" t="str">
        <f t="shared" si="2"/>
        <v>dd H20  500uM</v>
      </c>
    </row>
    <row r="20" spans="1:19" x14ac:dyDescent="0.45">
      <c r="A20" s="48"/>
      <c r="B20" s="48"/>
      <c r="C20" s="49"/>
      <c r="D20" s="43" t="s">
        <v>298</v>
      </c>
      <c r="E20" s="44"/>
      <c r="F20" s="44"/>
      <c r="G20" s="50"/>
      <c r="H20" s="50"/>
      <c r="I20" s="48"/>
      <c r="J20" s="46" t="s">
        <v>718</v>
      </c>
      <c r="K20" s="46" t="s">
        <v>657</v>
      </c>
      <c r="L20" s="46"/>
      <c r="M20" s="46" t="s">
        <v>289</v>
      </c>
      <c r="N20" s="51"/>
      <c r="O20" s="47">
        <v>0</v>
      </c>
      <c r="Q20" s="25"/>
      <c r="R20" s="25"/>
      <c r="S20" s="25" t="str">
        <f t="shared" ref="S20:S25" si="3">$Q$5&amp;R2</f>
        <v>DEPC水  10uM</v>
      </c>
    </row>
    <row r="21" spans="1:19" x14ac:dyDescent="0.45">
      <c r="A21" s="52"/>
      <c r="B21" s="52"/>
      <c r="C21" s="52"/>
      <c r="D21" s="53"/>
      <c r="E21" s="54"/>
      <c r="F21" s="54"/>
      <c r="G21" s="55"/>
      <c r="H21" s="55"/>
      <c r="I21" s="52"/>
      <c r="J21" s="56"/>
      <c r="K21" s="57"/>
      <c r="L21" s="57"/>
      <c r="M21" s="57"/>
      <c r="N21" s="58"/>
      <c r="O21" s="56"/>
      <c r="Q21" s="25"/>
      <c r="R21" s="25"/>
      <c r="S21" s="25" t="str">
        <f t="shared" si="3"/>
        <v>DEPC水  20uM</v>
      </c>
    </row>
    <row r="22" spans="1:19" x14ac:dyDescent="0.25">
      <c r="Q22" s="25"/>
      <c r="R22" s="25"/>
      <c r="S22" s="25" t="str">
        <f t="shared" si="3"/>
        <v>DEPC水  50uM</v>
      </c>
    </row>
    <row r="23" spans="1:19" x14ac:dyDescent="0.25">
      <c r="A23" s="59" t="s">
        <v>658</v>
      </c>
      <c r="B23" s="59"/>
      <c r="C23" s="60"/>
      <c r="D23" s="60"/>
      <c r="E23" s="60"/>
      <c r="F23" s="61"/>
      <c r="G23" s="62"/>
      <c r="H23" s="62"/>
      <c r="I23" s="61"/>
      <c r="J23" s="63"/>
      <c r="K23" s="63"/>
      <c r="L23" s="63"/>
      <c r="M23" s="63"/>
      <c r="N23" s="63"/>
      <c r="O23" s="63"/>
      <c r="Q23" s="25"/>
      <c r="R23" s="25"/>
      <c r="S23" s="25" t="str">
        <f t="shared" si="3"/>
        <v>DEPC水  100uM</v>
      </c>
    </row>
    <row r="24" spans="1:19" x14ac:dyDescent="0.45">
      <c r="A24" s="51" t="s">
        <v>653</v>
      </c>
      <c r="B24" s="203" t="s">
        <v>0</v>
      </c>
      <c r="C24" s="204"/>
      <c r="D24" s="204"/>
      <c r="E24" s="205"/>
      <c r="F24" s="64"/>
      <c r="G24" s="62"/>
      <c r="H24" s="62"/>
      <c r="I24" s="64"/>
      <c r="J24" s="63"/>
      <c r="K24" s="63"/>
      <c r="L24" s="63"/>
      <c r="M24" s="63"/>
      <c r="N24" s="63"/>
      <c r="O24" s="63"/>
      <c r="Q24" s="25"/>
      <c r="R24" s="25"/>
      <c r="S24" s="25" t="str">
        <f t="shared" si="3"/>
        <v>DEPC水  200uM</v>
      </c>
    </row>
    <row r="25" spans="1:19" x14ac:dyDescent="0.45">
      <c r="A25" s="65" t="s">
        <v>659</v>
      </c>
      <c r="B25" s="206" t="s">
        <v>628</v>
      </c>
      <c r="C25" s="207"/>
      <c r="D25" s="207"/>
      <c r="E25" s="208"/>
      <c r="F25" s="31"/>
      <c r="G25" s="32"/>
      <c r="H25" s="32"/>
      <c r="I25" s="31"/>
      <c r="J25" s="33"/>
      <c r="K25" s="33"/>
      <c r="L25" s="33"/>
      <c r="M25" s="33"/>
      <c r="N25" s="33"/>
      <c r="O25" s="33"/>
      <c r="Q25" s="25"/>
      <c r="R25" s="25"/>
      <c r="S25" s="25" t="str">
        <f t="shared" si="3"/>
        <v>DEPC水  500uM</v>
      </c>
    </row>
    <row r="26" spans="1:19" x14ac:dyDescent="0.25">
      <c r="A26" s="34" t="s">
        <v>2</v>
      </c>
      <c r="B26" s="36" t="s">
        <v>3</v>
      </c>
      <c r="C26" s="36" t="s">
        <v>4</v>
      </c>
      <c r="D26" s="36" t="s">
        <v>5</v>
      </c>
      <c r="E26" s="35" t="s">
        <v>6</v>
      </c>
      <c r="F26" s="36" t="s">
        <v>7</v>
      </c>
      <c r="G26" s="36" t="s">
        <v>8</v>
      </c>
      <c r="H26" s="37" t="s">
        <v>660</v>
      </c>
      <c r="I26" s="37" t="s">
        <v>9</v>
      </c>
      <c r="J26" s="38" t="s">
        <v>10</v>
      </c>
      <c r="K26" s="38" t="s">
        <v>11</v>
      </c>
      <c r="L26" s="34" t="s">
        <v>12</v>
      </c>
      <c r="M26" s="34" t="s">
        <v>13</v>
      </c>
      <c r="N26" s="36" t="s">
        <v>14</v>
      </c>
      <c r="O26" s="39" t="s">
        <v>15</v>
      </c>
    </row>
    <row r="27" spans="1:19" x14ac:dyDescent="0.45">
      <c r="A27" s="40"/>
      <c r="B27" s="41" t="s">
        <v>299</v>
      </c>
      <c r="C27" s="66" t="s">
        <v>300</v>
      </c>
      <c r="D27" s="43" t="s">
        <v>295</v>
      </c>
      <c r="E27" s="44"/>
      <c r="F27" s="44"/>
      <c r="G27" s="45">
        <v>5</v>
      </c>
      <c r="H27" s="45">
        <v>2</v>
      </c>
      <c r="I27" s="40"/>
      <c r="J27" s="46" t="s">
        <v>718</v>
      </c>
      <c r="K27" s="46" t="s">
        <v>657</v>
      </c>
      <c r="L27" s="46"/>
      <c r="M27" s="46"/>
      <c r="N27" s="36"/>
      <c r="O27" s="47">
        <v>24</v>
      </c>
    </row>
    <row r="28" spans="1:19" x14ac:dyDescent="0.45">
      <c r="A28" s="48"/>
      <c r="B28" s="41" t="s">
        <v>301</v>
      </c>
      <c r="C28" s="66" t="s">
        <v>300</v>
      </c>
      <c r="D28" s="43" t="s">
        <v>296</v>
      </c>
      <c r="E28" s="44"/>
      <c r="F28" s="44"/>
      <c r="G28" s="50">
        <v>5</v>
      </c>
      <c r="H28" s="50">
        <v>2</v>
      </c>
      <c r="I28" s="48"/>
      <c r="J28" s="46" t="s">
        <v>718</v>
      </c>
      <c r="K28" s="46" t="s">
        <v>657</v>
      </c>
      <c r="L28" s="46"/>
      <c r="M28" s="46"/>
      <c r="N28" s="36"/>
      <c r="O28" s="47">
        <v>24</v>
      </c>
    </row>
    <row r="29" spans="1:19" x14ac:dyDescent="0.45">
      <c r="A29" s="48"/>
      <c r="B29" s="41" t="s">
        <v>302</v>
      </c>
      <c r="C29" s="66" t="s">
        <v>300</v>
      </c>
      <c r="D29" s="43" t="s">
        <v>297</v>
      </c>
      <c r="E29" s="44"/>
      <c r="F29" s="44"/>
      <c r="G29" s="45">
        <v>5</v>
      </c>
      <c r="H29" s="45">
        <v>2</v>
      </c>
      <c r="I29" s="48"/>
      <c r="J29" s="46" t="s">
        <v>718</v>
      </c>
      <c r="K29" s="46" t="s">
        <v>657</v>
      </c>
      <c r="L29" s="46"/>
      <c r="M29" s="46"/>
      <c r="N29" s="36"/>
      <c r="O29" s="47">
        <v>24</v>
      </c>
    </row>
    <row r="30" spans="1:19" x14ac:dyDescent="0.45">
      <c r="A30" s="48"/>
      <c r="B30" s="41" t="s">
        <v>303</v>
      </c>
      <c r="C30" s="66" t="s">
        <v>300</v>
      </c>
      <c r="D30" s="43" t="s">
        <v>298</v>
      </c>
      <c r="E30" s="44"/>
      <c r="F30" s="44"/>
      <c r="G30" s="50">
        <v>5</v>
      </c>
      <c r="H30" s="50">
        <v>2</v>
      </c>
      <c r="I30" s="48"/>
      <c r="J30" s="46" t="s">
        <v>718</v>
      </c>
      <c r="K30" s="46" t="s">
        <v>657</v>
      </c>
      <c r="L30" s="46"/>
      <c r="M30" s="46" t="s">
        <v>289</v>
      </c>
      <c r="N30" s="51"/>
      <c r="O30" s="47">
        <v>24</v>
      </c>
    </row>
    <row r="31" spans="1:19" x14ac:dyDescent="0.45">
      <c r="A31" s="52"/>
      <c r="B31" s="52"/>
      <c r="C31" s="67"/>
      <c r="D31" s="53"/>
      <c r="E31" s="54"/>
      <c r="F31" s="54"/>
      <c r="G31" s="55"/>
      <c r="H31" s="55"/>
      <c r="I31" s="52"/>
      <c r="J31" s="56"/>
      <c r="K31" s="57"/>
      <c r="L31" s="57"/>
      <c r="M31" s="57"/>
      <c r="N31" s="58"/>
      <c r="O31" s="56"/>
    </row>
    <row r="32" spans="1:19" x14ac:dyDescent="0.25">
      <c r="A32" s="61"/>
      <c r="B32" s="61"/>
      <c r="C32" s="61"/>
      <c r="D32" s="61"/>
      <c r="E32" s="61"/>
      <c r="F32" s="61"/>
      <c r="G32" s="62"/>
      <c r="H32" s="62"/>
      <c r="I32" s="61"/>
      <c r="J32" s="63"/>
      <c r="K32" s="63"/>
      <c r="L32" s="63"/>
      <c r="M32" s="63"/>
      <c r="N32" s="63"/>
      <c r="O32" s="63"/>
    </row>
    <row r="33" spans="1:15" x14ac:dyDescent="0.25">
      <c r="A33" s="59" t="s">
        <v>661</v>
      </c>
      <c r="B33" s="59"/>
      <c r="C33" s="61"/>
      <c r="D33" s="61"/>
      <c r="E33" s="61"/>
      <c r="F33" s="61"/>
      <c r="G33" s="62"/>
      <c r="H33" s="62"/>
      <c r="I33" s="61"/>
      <c r="J33" s="63"/>
      <c r="K33" s="63"/>
      <c r="L33" s="63"/>
      <c r="M33" s="63"/>
      <c r="N33" s="63"/>
      <c r="O33" s="63"/>
    </row>
    <row r="34" spans="1:15" x14ac:dyDescent="0.45">
      <c r="A34" s="51" t="s">
        <v>653</v>
      </c>
      <c r="B34" s="203" t="s">
        <v>0</v>
      </c>
      <c r="C34" s="204"/>
      <c r="D34" s="204"/>
      <c r="E34" s="205"/>
      <c r="F34" s="64"/>
      <c r="G34" s="62"/>
      <c r="H34" s="62"/>
      <c r="I34" s="64"/>
      <c r="J34" s="63"/>
      <c r="K34" s="63"/>
      <c r="L34" s="63"/>
      <c r="M34" s="63"/>
      <c r="N34" s="63"/>
      <c r="O34" s="63"/>
    </row>
    <row r="35" spans="1:15" x14ac:dyDescent="0.45">
      <c r="A35" s="65" t="s">
        <v>659</v>
      </c>
      <c r="B35" s="206" t="s">
        <v>628</v>
      </c>
      <c r="C35" s="207"/>
      <c r="D35" s="207"/>
      <c r="E35" s="208"/>
      <c r="F35" s="31"/>
      <c r="G35" s="32"/>
      <c r="H35" s="32"/>
      <c r="I35" s="31"/>
      <c r="J35" s="33"/>
      <c r="K35" s="33"/>
      <c r="L35" s="33"/>
      <c r="M35" s="33"/>
      <c r="N35" s="33"/>
      <c r="O35" s="33"/>
    </row>
    <row r="36" spans="1:15" x14ac:dyDescent="0.25">
      <c r="A36" s="34" t="s">
        <v>2</v>
      </c>
      <c r="B36" s="36" t="s">
        <v>3</v>
      </c>
      <c r="C36" s="36" t="s">
        <v>4</v>
      </c>
      <c r="D36" s="36" t="s">
        <v>5</v>
      </c>
      <c r="E36" s="35" t="s">
        <v>6</v>
      </c>
      <c r="F36" s="36" t="s">
        <v>7</v>
      </c>
      <c r="G36" s="36" t="s">
        <v>8</v>
      </c>
      <c r="H36" s="37" t="s">
        <v>660</v>
      </c>
      <c r="I36" s="37" t="s">
        <v>9</v>
      </c>
      <c r="J36" s="38" t="s">
        <v>10</v>
      </c>
      <c r="K36" s="68" t="s">
        <v>11</v>
      </c>
      <c r="L36" s="34" t="s">
        <v>12</v>
      </c>
      <c r="M36" s="34" t="s">
        <v>13</v>
      </c>
      <c r="N36" s="36" t="s">
        <v>14</v>
      </c>
      <c r="O36" s="39" t="s">
        <v>15</v>
      </c>
    </row>
    <row r="37" spans="1:15" x14ac:dyDescent="0.45">
      <c r="A37" s="40"/>
      <c r="B37" s="41" t="s">
        <v>304</v>
      </c>
      <c r="C37" s="66" t="s">
        <v>300</v>
      </c>
      <c r="D37" s="43" t="s">
        <v>297</v>
      </c>
      <c r="E37" s="44"/>
      <c r="F37" s="44"/>
      <c r="G37" s="45">
        <v>1</v>
      </c>
      <c r="H37" s="45"/>
      <c r="I37" s="69">
        <v>5</v>
      </c>
      <c r="J37" s="46" t="s">
        <v>718</v>
      </c>
      <c r="K37" s="46" t="s">
        <v>657</v>
      </c>
      <c r="L37" s="36"/>
      <c r="M37" s="46" t="s">
        <v>288</v>
      </c>
      <c r="N37" s="36"/>
      <c r="O37" s="47">
        <v>24</v>
      </c>
    </row>
    <row r="38" spans="1:15" x14ac:dyDescent="0.45">
      <c r="A38" s="48"/>
      <c r="B38" s="41" t="s">
        <v>305</v>
      </c>
      <c r="C38" s="66" t="s">
        <v>300</v>
      </c>
      <c r="D38" s="43" t="s">
        <v>297</v>
      </c>
      <c r="E38" s="44"/>
      <c r="F38" s="44"/>
      <c r="G38" s="50">
        <v>1</v>
      </c>
      <c r="H38" s="50"/>
      <c r="I38" s="70">
        <v>5</v>
      </c>
      <c r="J38" s="46" t="s">
        <v>718</v>
      </c>
      <c r="K38" s="46" t="s">
        <v>657</v>
      </c>
      <c r="L38" s="36"/>
      <c r="M38" s="46" t="s">
        <v>288</v>
      </c>
      <c r="N38" s="36"/>
      <c r="O38" s="47">
        <v>24</v>
      </c>
    </row>
    <row r="39" spans="1:15" x14ac:dyDescent="0.45">
      <c r="A39" s="48"/>
      <c r="B39" s="41" t="s">
        <v>306</v>
      </c>
      <c r="C39" s="66" t="s">
        <v>300</v>
      </c>
      <c r="D39" s="43" t="s">
        <v>297</v>
      </c>
      <c r="E39" s="44"/>
      <c r="F39" s="44"/>
      <c r="G39" s="45">
        <v>1</v>
      </c>
      <c r="H39" s="45"/>
      <c r="I39" s="69">
        <v>5</v>
      </c>
      <c r="J39" s="46" t="s">
        <v>718</v>
      </c>
      <c r="K39" s="46" t="s">
        <v>657</v>
      </c>
      <c r="L39" s="36"/>
      <c r="M39" s="46" t="s">
        <v>288</v>
      </c>
      <c r="N39" s="36"/>
      <c r="O39" s="47">
        <v>24</v>
      </c>
    </row>
    <row r="40" spans="1:15" x14ac:dyDescent="0.45">
      <c r="A40" s="48"/>
      <c r="B40" s="41" t="s">
        <v>307</v>
      </c>
      <c r="C40" s="66" t="s">
        <v>300</v>
      </c>
      <c r="D40" s="43" t="s">
        <v>297</v>
      </c>
      <c r="E40" s="44"/>
      <c r="F40" s="44"/>
      <c r="G40" s="50">
        <v>1</v>
      </c>
      <c r="H40" s="50"/>
      <c r="I40" s="70">
        <v>5</v>
      </c>
      <c r="J40" s="46" t="s">
        <v>718</v>
      </c>
      <c r="K40" s="46" t="s">
        <v>657</v>
      </c>
      <c r="L40" s="36"/>
      <c r="M40" s="46" t="s">
        <v>288</v>
      </c>
      <c r="N40" s="51"/>
      <c r="O40" s="47">
        <v>24</v>
      </c>
    </row>
    <row r="41" spans="1:15" x14ac:dyDescent="0.45">
      <c r="A41" s="52"/>
      <c r="B41" s="52"/>
      <c r="C41" s="67"/>
      <c r="D41" s="53"/>
      <c r="E41" s="54"/>
      <c r="F41" s="54"/>
      <c r="G41" s="55"/>
      <c r="H41" s="55"/>
      <c r="I41" s="71"/>
      <c r="J41" s="56"/>
      <c r="K41" s="57"/>
      <c r="L41" s="56"/>
      <c r="M41" s="57"/>
      <c r="N41" s="58"/>
      <c r="O41" s="56"/>
    </row>
    <row r="42" spans="1:15" x14ac:dyDescent="0.25">
      <c r="A42" s="61"/>
      <c r="B42" s="61"/>
      <c r="C42" s="61"/>
      <c r="D42" s="61"/>
      <c r="E42" s="61"/>
      <c r="F42" s="61"/>
      <c r="G42" s="62"/>
      <c r="H42" s="62"/>
      <c r="I42" s="61"/>
      <c r="J42" s="63"/>
      <c r="K42" s="63"/>
      <c r="L42" s="63"/>
      <c r="M42" s="63"/>
      <c r="N42" s="63"/>
      <c r="O42" s="63"/>
    </row>
    <row r="43" spans="1:15" x14ac:dyDescent="0.25">
      <c r="A43" s="59" t="s">
        <v>662</v>
      </c>
      <c r="B43" s="59"/>
      <c r="C43" s="60"/>
      <c r="D43" s="60"/>
      <c r="E43" s="60"/>
      <c r="F43" s="61"/>
      <c r="G43" s="62"/>
      <c r="H43" s="62"/>
      <c r="I43" s="61"/>
      <c r="J43" s="63"/>
      <c r="K43" s="63"/>
      <c r="L43" s="63"/>
      <c r="M43" s="63"/>
      <c r="N43" s="63"/>
      <c r="O43" s="63"/>
    </row>
    <row r="44" spans="1:15" x14ac:dyDescent="0.45">
      <c r="A44" s="51" t="s">
        <v>653</v>
      </c>
      <c r="B44" s="203" t="s">
        <v>0</v>
      </c>
      <c r="C44" s="204"/>
      <c r="D44" s="204"/>
      <c r="E44" s="205"/>
      <c r="F44" s="64"/>
      <c r="G44" s="62"/>
      <c r="H44" s="62"/>
      <c r="I44" s="64"/>
      <c r="J44" s="63"/>
      <c r="K44" s="63"/>
      <c r="L44" s="63"/>
      <c r="M44" s="63"/>
      <c r="N44" s="63"/>
      <c r="O44" s="63"/>
    </row>
    <row r="45" spans="1:15" x14ac:dyDescent="0.45">
      <c r="A45" s="65" t="s">
        <v>659</v>
      </c>
      <c r="B45" s="206" t="s">
        <v>628</v>
      </c>
      <c r="C45" s="207"/>
      <c r="D45" s="207"/>
      <c r="E45" s="208"/>
      <c r="F45" s="31"/>
      <c r="G45" s="32"/>
      <c r="H45" s="32"/>
      <c r="I45" s="31"/>
      <c r="J45" s="33"/>
      <c r="K45" s="33"/>
      <c r="L45" s="33"/>
      <c r="M45" s="33"/>
      <c r="N45" s="33"/>
      <c r="O45" s="33"/>
    </row>
    <row r="46" spans="1:15" x14ac:dyDescent="0.25">
      <c r="A46" s="34" t="s">
        <v>2</v>
      </c>
      <c r="B46" s="36" t="s">
        <v>3</v>
      </c>
      <c r="C46" s="36" t="s">
        <v>4</v>
      </c>
      <c r="D46" s="36" t="s">
        <v>5</v>
      </c>
      <c r="E46" s="35" t="s">
        <v>6</v>
      </c>
      <c r="F46" s="36" t="s">
        <v>7</v>
      </c>
      <c r="G46" s="36" t="s">
        <v>8</v>
      </c>
      <c r="H46" s="37" t="s">
        <v>660</v>
      </c>
      <c r="I46" s="37" t="s">
        <v>9</v>
      </c>
      <c r="J46" s="38" t="s">
        <v>10</v>
      </c>
      <c r="K46" s="38" t="s">
        <v>11</v>
      </c>
      <c r="L46" s="34" t="s">
        <v>12</v>
      </c>
      <c r="M46" s="34" t="s">
        <v>13</v>
      </c>
      <c r="N46" s="36" t="s">
        <v>14</v>
      </c>
      <c r="O46" s="39" t="s">
        <v>15</v>
      </c>
    </row>
    <row r="47" spans="1:15" x14ac:dyDescent="0.45">
      <c r="A47" s="35"/>
      <c r="B47" s="41" t="s">
        <v>299</v>
      </c>
      <c r="C47" s="66" t="s">
        <v>663</v>
      </c>
      <c r="D47" s="43" t="s">
        <v>297</v>
      </c>
      <c r="E47" s="44"/>
      <c r="F47" s="44"/>
      <c r="G47" s="45">
        <v>2</v>
      </c>
      <c r="H47" s="72">
        <v>300</v>
      </c>
      <c r="I47" s="73"/>
      <c r="J47" s="46" t="s">
        <v>718</v>
      </c>
      <c r="K47" s="46" t="s">
        <v>664</v>
      </c>
      <c r="L47" s="36"/>
      <c r="M47" s="46" t="s">
        <v>288</v>
      </c>
      <c r="N47" s="36"/>
      <c r="O47" s="74">
        <v>24</v>
      </c>
    </row>
    <row r="48" spans="1:15" x14ac:dyDescent="0.45">
      <c r="A48" s="40"/>
      <c r="B48" s="41" t="s">
        <v>364</v>
      </c>
      <c r="C48" s="66" t="s">
        <v>665</v>
      </c>
      <c r="D48" s="43" t="s">
        <v>297</v>
      </c>
      <c r="E48" s="44"/>
      <c r="F48" s="44"/>
      <c r="G48" s="45">
        <v>2</v>
      </c>
      <c r="H48" s="45">
        <v>300</v>
      </c>
      <c r="I48" s="40"/>
      <c r="J48" s="46" t="s">
        <v>718</v>
      </c>
      <c r="K48" s="46" t="s">
        <v>664</v>
      </c>
      <c r="L48" s="36"/>
      <c r="M48" s="46" t="s">
        <v>288</v>
      </c>
      <c r="N48" s="36"/>
      <c r="O48" s="74">
        <v>24</v>
      </c>
    </row>
    <row r="49" spans="1:15" x14ac:dyDescent="0.45">
      <c r="A49" s="48"/>
      <c r="B49" s="41" t="s">
        <v>304</v>
      </c>
      <c r="C49" s="66" t="s">
        <v>300</v>
      </c>
      <c r="D49" s="43" t="s">
        <v>298</v>
      </c>
      <c r="E49" s="50" t="s">
        <v>365</v>
      </c>
      <c r="F49" s="50" t="s">
        <v>366</v>
      </c>
      <c r="G49" s="45">
        <v>2</v>
      </c>
      <c r="H49" s="50">
        <v>250</v>
      </c>
      <c r="I49" s="48"/>
      <c r="J49" s="46" t="s">
        <v>656</v>
      </c>
      <c r="K49" s="46" t="s">
        <v>664</v>
      </c>
      <c r="L49" s="36"/>
      <c r="M49" s="46" t="s">
        <v>289</v>
      </c>
      <c r="N49" s="36"/>
      <c r="O49" s="74">
        <v>24</v>
      </c>
    </row>
    <row r="50" spans="1:15" x14ac:dyDescent="0.45">
      <c r="A50" s="48"/>
      <c r="B50" s="41" t="s">
        <v>305</v>
      </c>
      <c r="C50" s="66" t="s">
        <v>300</v>
      </c>
      <c r="D50" s="43" t="s">
        <v>298</v>
      </c>
      <c r="E50" s="45" t="s">
        <v>367</v>
      </c>
      <c r="F50" s="45" t="s">
        <v>368</v>
      </c>
      <c r="G50" s="45">
        <v>2</v>
      </c>
      <c r="H50" s="45">
        <v>300</v>
      </c>
      <c r="I50" s="48"/>
      <c r="J50" s="46" t="s">
        <v>656</v>
      </c>
      <c r="K50" s="46" t="s">
        <v>664</v>
      </c>
      <c r="L50" s="36"/>
      <c r="M50" s="46" t="s">
        <v>289</v>
      </c>
      <c r="N50" s="36"/>
      <c r="O50" s="74">
        <v>24</v>
      </c>
    </row>
    <row r="51" spans="1:15" x14ac:dyDescent="0.45">
      <c r="A51" s="48"/>
      <c r="B51" s="41" t="s">
        <v>306</v>
      </c>
      <c r="C51" s="66" t="s">
        <v>300</v>
      </c>
      <c r="D51" s="43" t="s">
        <v>297</v>
      </c>
      <c r="E51" s="50" t="s">
        <v>200</v>
      </c>
      <c r="F51" s="50"/>
      <c r="G51" s="45">
        <v>2</v>
      </c>
      <c r="H51" s="50">
        <v>250</v>
      </c>
      <c r="I51" s="48"/>
      <c r="J51" s="46" t="s">
        <v>656</v>
      </c>
      <c r="K51" s="46" t="s">
        <v>664</v>
      </c>
      <c r="L51" s="36"/>
      <c r="M51" s="46" t="s">
        <v>289</v>
      </c>
      <c r="N51" s="51"/>
      <c r="O51" s="74">
        <v>24</v>
      </c>
    </row>
    <row r="52" spans="1:15" x14ac:dyDescent="0.45">
      <c r="A52" s="52"/>
      <c r="B52" s="52"/>
      <c r="C52" s="67"/>
      <c r="D52" s="53"/>
      <c r="E52" s="55"/>
      <c r="F52" s="55"/>
      <c r="G52" s="55"/>
      <c r="H52" s="55"/>
      <c r="I52" s="52"/>
      <c r="J52" s="57"/>
      <c r="K52" s="57"/>
      <c r="L52" s="56"/>
      <c r="M52" s="57"/>
      <c r="N52" s="58"/>
      <c r="O52" s="75"/>
    </row>
    <row r="54" spans="1:15" x14ac:dyDescent="0.25">
      <c r="A54" s="59" t="s">
        <v>666</v>
      </c>
      <c r="B54" s="59"/>
      <c r="C54" s="60"/>
      <c r="D54" s="60"/>
      <c r="E54" s="60"/>
      <c r="F54" s="61"/>
      <c r="G54" s="62"/>
      <c r="H54" s="62"/>
      <c r="I54" s="61"/>
      <c r="J54" s="63"/>
      <c r="K54" s="63"/>
      <c r="L54" s="63"/>
      <c r="M54" s="63"/>
      <c r="N54" s="63"/>
      <c r="O54" s="63"/>
    </row>
    <row r="55" spans="1:15" x14ac:dyDescent="0.45">
      <c r="A55" s="51" t="s">
        <v>653</v>
      </c>
      <c r="B55" s="203" t="s">
        <v>667</v>
      </c>
      <c r="C55" s="204"/>
      <c r="D55" s="204"/>
      <c r="E55" s="205"/>
      <c r="F55" s="64"/>
      <c r="G55" s="62"/>
      <c r="H55" s="62"/>
      <c r="I55" s="64"/>
      <c r="J55" s="63"/>
      <c r="K55" s="63"/>
      <c r="L55" s="63"/>
      <c r="M55" s="63"/>
      <c r="N55" s="63"/>
      <c r="O55" s="63"/>
    </row>
    <row r="56" spans="1:15" x14ac:dyDescent="0.45">
      <c r="A56" s="65" t="s">
        <v>659</v>
      </c>
      <c r="B56" s="206" t="s">
        <v>628</v>
      </c>
      <c r="C56" s="207"/>
      <c r="D56" s="207"/>
      <c r="E56" s="208"/>
      <c r="F56" s="31"/>
      <c r="G56" s="32"/>
      <c r="H56" s="32"/>
      <c r="I56" s="31"/>
      <c r="J56" s="33"/>
      <c r="K56" s="33"/>
      <c r="L56" s="33"/>
      <c r="M56" s="33"/>
      <c r="N56" s="33"/>
      <c r="O56" s="33"/>
    </row>
    <row r="57" spans="1:15" x14ac:dyDescent="0.25">
      <c r="A57" s="34" t="s">
        <v>2</v>
      </c>
      <c r="B57" s="36" t="s">
        <v>3</v>
      </c>
      <c r="C57" s="36" t="s">
        <v>4</v>
      </c>
      <c r="D57" s="36" t="s">
        <v>5</v>
      </c>
      <c r="E57" s="35" t="s">
        <v>6</v>
      </c>
      <c r="F57" s="36" t="s">
        <v>7</v>
      </c>
      <c r="G57" s="36" t="s">
        <v>8</v>
      </c>
      <c r="H57" s="37" t="s">
        <v>660</v>
      </c>
      <c r="I57" s="37" t="s">
        <v>9</v>
      </c>
      <c r="J57" s="38" t="s">
        <v>10</v>
      </c>
      <c r="K57" s="38" t="s">
        <v>11</v>
      </c>
      <c r="L57" s="34" t="s">
        <v>12</v>
      </c>
      <c r="M57" s="34" t="s">
        <v>13</v>
      </c>
      <c r="N57" s="36" t="s">
        <v>14</v>
      </c>
      <c r="O57" s="39" t="s">
        <v>15</v>
      </c>
    </row>
    <row r="58" spans="1:15" x14ac:dyDescent="0.45">
      <c r="A58" s="35"/>
      <c r="B58" s="41" t="s">
        <v>299</v>
      </c>
      <c r="C58" s="66" t="s">
        <v>668</v>
      </c>
      <c r="D58" s="43" t="s">
        <v>297</v>
      </c>
      <c r="E58" s="44"/>
      <c r="F58" s="44"/>
      <c r="G58" s="45">
        <v>2</v>
      </c>
      <c r="H58" s="72">
        <v>10</v>
      </c>
      <c r="I58" s="73"/>
      <c r="J58" s="46" t="s">
        <v>718</v>
      </c>
      <c r="K58" s="46" t="s">
        <v>669</v>
      </c>
      <c r="L58" s="36"/>
      <c r="M58" s="46" t="s">
        <v>289</v>
      </c>
      <c r="N58" s="36"/>
      <c r="O58" s="74">
        <v>24</v>
      </c>
    </row>
    <row r="59" spans="1:15" x14ac:dyDescent="0.45">
      <c r="A59" s="40"/>
      <c r="B59" s="41" t="s">
        <v>364</v>
      </c>
      <c r="C59" s="66" t="s">
        <v>670</v>
      </c>
      <c r="D59" s="43" t="s">
        <v>297</v>
      </c>
      <c r="E59" s="44"/>
      <c r="F59" s="44"/>
      <c r="G59" s="45">
        <v>2</v>
      </c>
      <c r="H59" s="45">
        <v>10</v>
      </c>
      <c r="I59" s="40"/>
      <c r="J59" s="46" t="s">
        <v>718</v>
      </c>
      <c r="K59" s="46" t="s">
        <v>669</v>
      </c>
      <c r="L59" s="36"/>
      <c r="M59" s="46" t="s">
        <v>289</v>
      </c>
      <c r="N59" s="36"/>
      <c r="O59" s="74">
        <v>24</v>
      </c>
    </row>
    <row r="60" spans="1:15" x14ac:dyDescent="0.45">
      <c r="A60" s="48"/>
      <c r="B60" s="41" t="s">
        <v>304</v>
      </c>
      <c r="C60" s="76" t="s">
        <v>671</v>
      </c>
      <c r="D60" s="43" t="s">
        <v>298</v>
      </c>
      <c r="E60" s="44"/>
      <c r="F60" s="44"/>
      <c r="G60" s="45">
        <v>2</v>
      </c>
      <c r="H60" s="72">
        <v>10</v>
      </c>
      <c r="I60" s="48"/>
      <c r="J60" s="46" t="s">
        <v>656</v>
      </c>
      <c r="K60" s="46" t="s">
        <v>669</v>
      </c>
      <c r="L60" s="36"/>
      <c r="M60" s="46" t="s">
        <v>289</v>
      </c>
      <c r="N60" s="36"/>
      <c r="O60" s="74">
        <v>26</v>
      </c>
    </row>
    <row r="61" spans="1:15" x14ac:dyDescent="0.45">
      <c r="A61" s="48"/>
      <c r="B61" s="41" t="s">
        <v>305</v>
      </c>
      <c r="C61" s="66" t="s">
        <v>672</v>
      </c>
      <c r="D61" s="43" t="s">
        <v>297</v>
      </c>
      <c r="E61" s="45" t="s">
        <v>253</v>
      </c>
      <c r="F61" s="45"/>
      <c r="G61" s="45">
        <v>2</v>
      </c>
      <c r="H61" s="45">
        <v>10</v>
      </c>
      <c r="I61" s="48"/>
      <c r="J61" s="46" t="s">
        <v>718</v>
      </c>
      <c r="K61" s="46" t="s">
        <v>669</v>
      </c>
      <c r="L61" s="36"/>
      <c r="M61" s="46" t="s">
        <v>289</v>
      </c>
      <c r="N61" s="36"/>
      <c r="O61" s="74">
        <v>24</v>
      </c>
    </row>
    <row r="62" spans="1:15" x14ac:dyDescent="0.25">
      <c r="A62" s="77"/>
      <c r="B62" s="77"/>
      <c r="C62" s="77"/>
      <c r="D62" s="77"/>
      <c r="E62" s="77"/>
      <c r="F62" s="77"/>
      <c r="G62" s="78"/>
      <c r="H62" s="78"/>
      <c r="I62" s="77"/>
      <c r="J62" s="75"/>
      <c r="K62" s="75"/>
      <c r="L62" s="75"/>
      <c r="M62" s="75"/>
      <c r="N62" s="75"/>
      <c r="O62" s="75"/>
    </row>
  </sheetData>
  <protectedRanges>
    <protectedRange algorithmName="SHA-512" hashValue="Xj1tnDbCPhK7041cqsySNVmJjuFfwdymM4zUmk8ZJtf3rk6zJ/V5ExczlSjVz00WFSoNghJ13qh4zaJUQcdtMg==" saltValue="qFMOjIIShA3MoipXGHb/AQ==" spinCount="100000" sqref="E17:F21 E27:F31 E37:F41 E47:F48 E58:F60" name="区域3"/>
    <protectedRange algorithmName="SHA-512" hashValue="Xj1tnDbCPhK7041cqsySNVmJjuFfwdymM4zUmk8ZJtf3rk6zJ/V5ExczlSjVz00WFSoNghJ13qh4zaJUQcdtMg==" saltValue="qFMOjIIShA3MoipXGHb/AQ==" spinCount="100000" sqref="J17:M17 K18:M21 J27:M27 K28:M31 K38:K41 M37:M41 M47:M52 M58:M61 J28:J30 J37:K37 J38:J40 J47:K52 J58:K61 J18:J20" name="区域3_2"/>
    <protectedRange algorithmName="SHA-512" hashValue="Xj1tnDbCPhK7041cqsySNVmJjuFfwdymM4zUmk8ZJtf3rk6zJ/V5ExczlSjVz00WFSoNghJ13qh4zaJUQcdtMg==" saltValue="qFMOjIIShA3MoipXGHb/AQ==" spinCount="100000" sqref="D17:D21 D27:D31 D37:D41 D47:D52 D58:D61" name="区域3_3"/>
  </protectedRanges>
  <mergeCells count="20">
    <mergeCell ref="B15:E15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4:E14"/>
    <mergeCell ref="B55:E55"/>
    <mergeCell ref="B56:E56"/>
    <mergeCell ref="B24:E24"/>
    <mergeCell ref="B25:E25"/>
    <mergeCell ref="B34:E34"/>
    <mergeCell ref="B35:E35"/>
    <mergeCell ref="B44:E44"/>
    <mergeCell ref="B45:E45"/>
  </mergeCells>
  <phoneticPr fontId="1" type="noConversion"/>
  <dataValidations count="4">
    <dataValidation type="list" allowBlank="1" showInputMessage="1" showErrorMessage="1" sqref="M17:M21 M27:M31 M37:M41 M47:M52 M58:M61" xr:uid="{430364E2-07F3-4888-B4B5-45675F7EE59F}">
      <formula1>"HPTP,MSTP,H+M,H+F,M+F,H+M+F,H+M+C,H+M+F+C,"</formula1>
    </dataValidation>
    <dataValidation type="list" allowBlank="1" showInputMessage="1" showErrorMessage="1" sqref="K17:K21 K27:K31 K37:K41 K47:K52 K58:K61" xr:uid="{FB65E59A-D37E-42AA-9686-F6C09288E1E3}">
      <formula1>"1.5ml可立管,1.5ml离心管,2ml离心管,5ml离心管,50ml离心管"</formula1>
    </dataValidation>
    <dataValidation type="list" allowBlank="1" showInputMessage="1" showErrorMessage="1" sqref="J17:J20 J47:J52 J27:J30 J58:J61 J37:J40" xr:uid="{84E53FD9-C4B4-476A-A6E4-F187D5998273}">
      <formula1>"BLG白色标签,BLG透明标签,无LOGO标签"</formula1>
    </dataValidation>
    <dataValidation type="list" allowBlank="1" showInputMessage="1" showErrorMessage="1" sqref="D17:D21 D27:D31 D37:D41 D47:D52 D58:D61" xr:uid="{4024AEEE-ECE9-42A0-A9D0-89DF5283E411}">
      <formula1>"DSL,UPAGE,PAGE,HPLC,DHPLC"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FF58C8-633C-4986-A482-7BDC5D421247}">
          <x14:formula1>
            <xm:f>可合成修饰种类!$I$2:$I$45</xm:f>
          </x14:formula1>
          <xm:sqref>F17:F21 F27:F31 F37:F41 F47:F48 F58:F60</xm:sqref>
        </x14:dataValidation>
        <x14:dataValidation type="list" allowBlank="1" showInputMessage="1" showErrorMessage="1" xr:uid="{2ECA5D0D-BB08-4B92-B874-532FC7821147}">
          <x14:formula1>
            <xm:f>可合成修饰种类!$G$2:$G$47</xm:f>
          </x14:formula1>
          <xm:sqref>E17:E21 E27:E31 E37:E41 E47:E48 E58:E60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3" rangeCreator="" othersAccessPermission="edit"/>
    <arrUserId title="区域2" rangeCreator="" othersAccessPermission="edit"/>
    <arrUserId title="区域1" rangeCreator="" othersAccessPermission="edit"/>
  </rangeList>
  <rangeList sheetStid="5" master=""/>
  <rangeList sheetStid="9" master=""/>
  <rangeList sheetStid="8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DNA合成订购表</vt:lpstr>
      <vt:lpstr>修饰列表</vt:lpstr>
      <vt:lpstr>可合成修饰种类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鑫宇 胡</cp:lastModifiedBy>
  <dcterms:created xsi:type="dcterms:W3CDTF">2007-05-22T02:44:00Z</dcterms:created>
  <dcterms:modified xsi:type="dcterms:W3CDTF">2025-06-03T06:03:35Z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02960E55151E42FCA45E6D318B693509</vt:lpwstr>
  </property>
</Properties>
</file>