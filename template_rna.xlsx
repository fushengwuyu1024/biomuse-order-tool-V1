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NA单靶点定制表" sheetId="1" r:id="rId1"/>
    <sheet name="套装订购" sheetId="9" r:id="rId2"/>
    <sheet name="套装说明" sheetId="10" r:id="rId3"/>
    <sheet name="引用数据" sheetId="12" r:id="rId4"/>
    <sheet name="修饰列表" sheetId="5" r:id="rId5"/>
    <sheet name="可合成修饰种类" sheetId="3" r:id="rId6"/>
    <sheet name="填写说明" sheetId="8" r:id="rId7"/>
  </sheets>
  <definedNames>
    <definedName name="_xlnm._FilterDatabase" localSheetId="3" hidden="1">引用数据!$A$1:$E$13</definedName>
    <definedName name="_xlnm._FilterDatabase" localSheetId="0" hidden="1">RNA单靶点定制表!$A$1:$R$101</definedName>
    <definedName name="_xlnm._FilterDatabase" localSheetId="5" hidden="1">可合成修饰种类!$C$1:$D$58</definedName>
    <definedName name="ASO">引用数据!$H$2:$H$13</definedName>
    <definedName name="miRNA类">引用数据!$E$2:$E$13</definedName>
    <definedName name="miRNA文库">引用数据!$F$2:$F$13</definedName>
    <definedName name="RNAi服务">引用数据!$D$2:$D$13</definedName>
    <definedName name="RNAi文库">引用数据!$C$2:$C$13</definedName>
    <definedName name="siRNA类">引用数据!$A$2:$A$13</definedName>
    <definedName name="常规RNA合成">引用数据!$B$2:$B$13</definedName>
    <definedName name="基因编辑">引用数据!$G$2:$G$13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Roberts</author>
    <author>min.su</author>
    <author>86187</author>
  </authors>
  <commentList>
    <comment ref="D19" authorId="0">
      <text>
        <r>
          <rPr>
            <b/>
            <sz val="9"/>
            <rFont val="宋体"/>
            <charset val="134"/>
          </rPr>
          <t>填写说明：
只有需要做RNA退火工艺的才需要填写该序列。收费按一对来收费。</t>
        </r>
      </text>
    </comment>
    <comment ref="F19" authorId="1">
      <text>
        <r>
          <rPr>
            <sz val="8"/>
            <rFont val="Tahoma"/>
            <charset val="134"/>
          </rPr>
          <t xml:space="preserve">请选用下拉菜单中修饰代号
</t>
        </r>
      </text>
    </comment>
    <comment ref="G19" authorId="1">
      <text>
        <r>
          <rPr>
            <sz val="8"/>
            <rFont val="Tahoma"/>
            <charset val="134"/>
          </rPr>
          <t>请选用下拉菜单中修饰代号</t>
        </r>
      </text>
    </comment>
    <comment ref="H19" authorId="2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I19" authorId="1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</commentList>
</comments>
</file>

<file path=xl/comments2.xml><?xml version="1.0" encoding="utf-8"?>
<comments xmlns="http://schemas.openxmlformats.org/spreadsheetml/2006/main">
  <authors>
    <author>Roberts</author>
    <author>min.su</author>
    <author>86187</author>
  </authors>
  <commentList>
    <comment ref="C16" authorId="0">
      <text>
        <r>
          <rPr>
            <b/>
            <sz val="9"/>
            <rFont val="宋体"/>
            <charset val="134"/>
          </rPr>
          <t>填写说明：
只有需要做RNA退火工艺的才需要填写该序列。收费按一对来收费。</t>
        </r>
      </text>
    </comment>
    <comment ref="E16" authorId="1">
      <text>
        <r>
          <rPr>
            <sz val="8"/>
            <rFont val="Tahoma"/>
            <charset val="134"/>
          </rPr>
          <t xml:space="preserve">请选用下拉菜单中修饰代号
</t>
        </r>
      </text>
    </comment>
    <comment ref="F16" authorId="1">
      <text>
        <r>
          <rPr>
            <sz val="8"/>
            <rFont val="Tahoma"/>
            <charset val="134"/>
          </rPr>
          <t>请选用下拉菜单中修饰代号</t>
        </r>
      </text>
    </comment>
    <comment ref="G16" authorId="2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H16" authorId="1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C22" authorId="0">
      <text>
        <r>
          <rPr>
            <b/>
            <sz val="9"/>
            <rFont val="宋体"/>
            <charset val="134"/>
          </rPr>
          <t>填写说明：
只有需要做RNA退火工艺的才需要填写该序列。收费按一对来收费。</t>
        </r>
      </text>
    </comment>
    <comment ref="E22" authorId="1">
      <text>
        <r>
          <rPr>
            <sz val="8"/>
            <rFont val="Tahoma"/>
            <charset val="134"/>
          </rPr>
          <t xml:space="preserve">请选用下拉菜单中修饰代号
</t>
        </r>
      </text>
    </comment>
    <comment ref="F22" authorId="1">
      <text>
        <r>
          <rPr>
            <sz val="8"/>
            <rFont val="Tahoma"/>
            <charset val="134"/>
          </rPr>
          <t>请选用下拉菜单中修饰代号</t>
        </r>
      </text>
    </comment>
    <comment ref="G22" authorId="2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H22" authorId="1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C28" authorId="0">
      <text>
        <r>
          <rPr>
            <b/>
            <sz val="9"/>
            <rFont val="宋体"/>
            <charset val="134"/>
          </rPr>
          <t>填写说明：
只有需要做RNA退火工艺的才需要填写该序列。收费按一对来收费。</t>
        </r>
      </text>
    </comment>
    <comment ref="E28" authorId="1">
      <text>
        <r>
          <rPr>
            <sz val="8"/>
            <rFont val="Tahoma"/>
            <charset val="134"/>
          </rPr>
          <t xml:space="preserve">请选用下拉菜单中修饰代号
</t>
        </r>
      </text>
    </comment>
    <comment ref="F28" authorId="1">
      <text>
        <r>
          <rPr>
            <sz val="8"/>
            <rFont val="Tahoma"/>
            <charset val="134"/>
          </rPr>
          <t>请选用下拉菜单中修饰代号</t>
        </r>
      </text>
    </comment>
    <comment ref="G28" authorId="2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  <comment ref="H28" authorId="1">
      <text>
        <r>
          <rPr>
            <b/>
            <sz val="9"/>
            <rFont val="宋体"/>
            <charset val="134"/>
          </rPr>
          <t>若反向互补序列特殊修饰与正向序列不一致，请选用下拉菜单中修饰代号；若不填写则默认为与正向序列特殊修饰一致</t>
        </r>
      </text>
    </comment>
  </commentList>
</comments>
</file>

<file path=xl/sharedStrings.xml><?xml version="1.0" encoding="utf-8"?>
<sst xmlns="http://schemas.openxmlformats.org/spreadsheetml/2006/main" count="1504" uniqueCount="828">
  <si>
    <t>百力格生物科技（上海）股份有限公司  RNA服务与套餐订购表</t>
  </si>
  <si>
    <t>订购日期：</t>
  </si>
  <si>
    <t>地址：上海市松江区书海路99号23幢</t>
  </si>
  <si>
    <r>
      <rPr>
        <sz val="10"/>
        <rFont val="等线"/>
        <charset val="134"/>
      </rPr>
      <t>客户姓名：</t>
    </r>
    <r>
      <rPr>
        <sz val="10"/>
        <color indexed="10"/>
        <rFont val="等线"/>
        <charset val="134"/>
      </rPr>
      <t>*</t>
    </r>
  </si>
  <si>
    <t>联系电话：021-57632761, 400-168-8906</t>
  </si>
  <si>
    <r>
      <rPr>
        <sz val="10"/>
        <rFont val="等线"/>
        <charset val="134"/>
      </rPr>
      <t>客户单位：</t>
    </r>
    <r>
      <rPr>
        <sz val="10"/>
        <color indexed="10"/>
        <rFont val="等线"/>
        <charset val="134"/>
      </rPr>
      <t>*</t>
    </r>
  </si>
  <si>
    <t>网址：www.bioligo.com</t>
  </si>
  <si>
    <r>
      <rPr>
        <sz val="10"/>
        <rFont val="等线"/>
        <charset val="134"/>
      </rPr>
      <t>课题组：</t>
    </r>
    <r>
      <rPr>
        <sz val="10"/>
        <color indexed="10"/>
        <rFont val="等线"/>
        <charset val="134"/>
      </rPr>
      <t>*</t>
    </r>
  </si>
  <si>
    <t>邮箱：blg-rna@bioligo.com</t>
  </si>
  <si>
    <t>订单类别：</t>
  </si>
  <si>
    <t>RNA</t>
  </si>
  <si>
    <t>订单要求：</t>
  </si>
  <si>
    <r>
      <rPr>
        <sz val="10"/>
        <rFont val="等线"/>
        <charset val="134"/>
      </rPr>
      <t>客户地址：</t>
    </r>
    <r>
      <rPr>
        <sz val="10"/>
        <color indexed="10"/>
        <rFont val="等线"/>
        <charset val="134"/>
      </rPr>
      <t>*</t>
    </r>
  </si>
  <si>
    <r>
      <rPr>
        <sz val="10"/>
        <color rgb="FFFF0000"/>
        <rFont val="等线"/>
        <charset val="134"/>
      </rPr>
      <t>1.</t>
    </r>
    <r>
      <rPr>
        <sz val="10"/>
        <color indexed="10"/>
        <rFont val="等线"/>
        <charset val="134"/>
      </rPr>
      <t>此表格仅针对E-mail订单使用，如果工作日19点前2小时未收到回复请及时联系。
2.因为订单是系统自动处理，订单发送前请仔细核对信息, 订单接收2小时后将不能再更改。
3.修饰请用下拉菜单中我们公司的专用代码，如果没有的修饰种类请在备注栏中备注或电话联系我们。</t>
    </r>
  </si>
  <si>
    <r>
      <rPr>
        <sz val="10"/>
        <rFont val="等线"/>
        <charset val="134"/>
      </rPr>
      <t>客户电话：</t>
    </r>
    <r>
      <rPr>
        <sz val="10"/>
        <color indexed="10"/>
        <rFont val="等线"/>
        <charset val="134"/>
      </rPr>
      <t>*</t>
    </r>
  </si>
  <si>
    <t>客户Email：</t>
  </si>
  <si>
    <t>交付形式：</t>
  </si>
  <si>
    <t>客户ID:</t>
  </si>
  <si>
    <t>客户订单号：</t>
  </si>
  <si>
    <r>
      <rPr>
        <sz val="10"/>
        <color rgb="FF0000FF"/>
        <rFont val="等线"/>
        <charset val="134"/>
      </rPr>
      <t>收货人：</t>
    </r>
    <r>
      <rPr>
        <sz val="10"/>
        <color indexed="10"/>
        <rFont val="等线"/>
        <charset val="134"/>
      </rPr>
      <t>*</t>
    </r>
  </si>
  <si>
    <r>
      <rPr>
        <sz val="10"/>
        <color rgb="FF0000FF"/>
        <rFont val="等线"/>
        <charset val="134"/>
      </rPr>
      <t>收货电话：</t>
    </r>
    <r>
      <rPr>
        <sz val="10"/>
        <color indexed="10"/>
        <rFont val="等线"/>
        <charset val="134"/>
      </rPr>
      <t>*</t>
    </r>
  </si>
  <si>
    <r>
      <rPr>
        <sz val="10"/>
        <color rgb="FF0000FF"/>
        <rFont val="等线"/>
        <charset val="134"/>
      </rPr>
      <t>收货地址：</t>
    </r>
    <r>
      <rPr>
        <sz val="10"/>
        <color indexed="10"/>
        <rFont val="等线"/>
        <charset val="134"/>
      </rPr>
      <t>*</t>
    </r>
  </si>
  <si>
    <r>
      <rPr>
        <sz val="10"/>
        <color rgb="FF0000FF"/>
        <rFont val="等线"/>
        <charset val="134"/>
      </rPr>
      <t>发票类型：</t>
    </r>
    <r>
      <rPr>
        <sz val="10"/>
        <color indexed="10"/>
        <rFont val="等线"/>
        <charset val="134"/>
      </rPr>
      <t>*</t>
    </r>
  </si>
  <si>
    <t>兼并碱基代码：A,g＝R；A,C＝M；A,T＝W；C,g=S；C,T＝Y；g,T＝K；A,T,C＝H；g,T,C＝B；g,A,T=D；A,C,g=V；A,C,g,T=N</t>
  </si>
  <si>
    <r>
      <rPr>
        <sz val="10"/>
        <color rgb="FF0000FF"/>
        <rFont val="等线"/>
        <charset val="134"/>
      </rPr>
      <t>发票抬头：</t>
    </r>
    <r>
      <rPr>
        <sz val="10"/>
        <color indexed="10"/>
        <rFont val="等线"/>
        <charset val="134"/>
      </rPr>
      <t>*</t>
    </r>
  </si>
  <si>
    <t>ID*</t>
  </si>
  <si>
    <t>引物名称</t>
  </si>
  <si>
    <t>引物序列(5'to3')</t>
  </si>
  <si>
    <t>反向互补序列(5'to3')</t>
  </si>
  <si>
    <t>纯化方式</t>
  </si>
  <si>
    <t>5'修饰</t>
  </si>
  <si>
    <t>3'修饰</t>
  </si>
  <si>
    <t>反向互补5'修饰</t>
  </si>
  <si>
    <t>反向互补3'修饰</t>
  </si>
  <si>
    <t>分装管数</t>
  </si>
  <si>
    <t>每管OD值</t>
  </si>
  <si>
    <t>每管nmoles</t>
  </si>
  <si>
    <t>标签类型</t>
  </si>
  <si>
    <t>离心管类型</t>
  </si>
  <si>
    <t>溶解浓度(uM)</t>
  </si>
  <si>
    <t>检验报告类型</t>
  </si>
  <si>
    <t>备注</t>
  </si>
  <si>
    <t>碱基数</t>
  </si>
  <si>
    <t>百力格生物科技（上海）股份有限公司</t>
  </si>
  <si>
    <t>联系电话：021-67616018, 400-168-8906</t>
  </si>
  <si>
    <t>序号</t>
  </si>
  <si>
    <t>基因名称</t>
  </si>
  <si>
    <t>基因ID</t>
  </si>
  <si>
    <t>物种</t>
  </si>
  <si>
    <t>产品类型</t>
  </si>
  <si>
    <t>产品名称</t>
  </si>
  <si>
    <t>产品编号</t>
  </si>
  <si>
    <t>规格</t>
  </si>
  <si>
    <t>数量</t>
  </si>
  <si>
    <t>特殊说明</t>
  </si>
  <si>
    <t>产品类别</t>
  </si>
  <si>
    <t>价格</t>
  </si>
  <si>
    <t>赠送</t>
  </si>
  <si>
    <t>siRNA类</t>
  </si>
  <si>
    <t>siRNA常规单靶点合成</t>
  </si>
  <si>
    <t>PRsi001-002</t>
  </si>
  <si>
    <t>2.5nmol</t>
  </si>
  <si>
    <t>阴性对照2.5nmol</t>
  </si>
  <si>
    <t>PRsi001-005</t>
  </si>
  <si>
    <t>5nmol</t>
  </si>
  <si>
    <t>PRsi001-010</t>
  </si>
  <si>
    <t>10nmol</t>
  </si>
  <si>
    <t>PRsi001-100</t>
  </si>
  <si>
    <t>100nmol</t>
  </si>
  <si>
    <t>PRsi001-200</t>
  </si>
  <si>
    <t>200nmol</t>
  </si>
  <si>
    <t>询价</t>
  </si>
  <si>
    <t>PRsi001-500</t>
  </si>
  <si>
    <t>500nmol</t>
  </si>
  <si>
    <t>PRsi001-201</t>
  </si>
  <si>
    <t>1umol</t>
  </si>
  <si>
    <t>PRsi001-101</t>
  </si>
  <si>
    <t>100mg</t>
  </si>
  <si>
    <t>PRsi001-102</t>
  </si>
  <si>
    <t>200mg</t>
  </si>
  <si>
    <t>PRsi001-105</t>
  </si>
  <si>
    <t>500mg</t>
  </si>
  <si>
    <t>PRsi001-110</t>
  </si>
  <si>
    <t>1g</t>
  </si>
  <si>
    <t>UHP- siRNA化学修饰单靶点合成
Ultra-High Performance UHP</t>
  </si>
  <si>
    <t>PRsiu002-002</t>
  </si>
  <si>
    <t>PRsiu002-005</t>
  </si>
  <si>
    <t>PRsiu002-010</t>
  </si>
  <si>
    <t>PRsiu002-100</t>
  </si>
  <si>
    <t>PRsiu002-200</t>
  </si>
  <si>
    <t>PRsiu002-500</t>
  </si>
  <si>
    <t>PRsiu002-201</t>
  </si>
  <si>
    <t>PRsiu002-101</t>
  </si>
  <si>
    <t>PRsiu002-102</t>
  </si>
  <si>
    <t>PRsiu002-105</t>
  </si>
  <si>
    <t>PRsiu002-110</t>
  </si>
  <si>
    <t>siRNA常规1/3套餐合成</t>
  </si>
  <si>
    <t>PRsit003-003</t>
  </si>
  <si>
    <t>5nmol*3</t>
  </si>
  <si>
    <t>阴性对照2.5nmol，荧光标记阴性对照2.5nmol，阳性对照2.5nmol</t>
  </si>
  <si>
    <t>siRNA常规2/5套餐合成</t>
  </si>
  <si>
    <t>PRsit003-005</t>
  </si>
  <si>
    <t>5nmol*5</t>
  </si>
  <si>
    <t>siRNA常规1/3即用型套餐合成</t>
  </si>
  <si>
    <t>PRsit004-003</t>
  </si>
  <si>
    <t>转染试剂500ul，阴性对照2.5nmol，荧光标记阴性对照2.5nmol，阳性对照2.5nmol</t>
  </si>
  <si>
    <t>siRNA常规2/5即用型套餐合成</t>
  </si>
  <si>
    <t>PRsit004-005</t>
  </si>
  <si>
    <t>UHP-siRNA化学修饰1/3套餐合成</t>
  </si>
  <si>
    <t>Prsiut005-003</t>
  </si>
  <si>
    <t>UHP-siRNA化学修饰2/5套餐合成</t>
  </si>
  <si>
    <t>Prsiut005-005</t>
  </si>
  <si>
    <t>阴性对照2nmol，荧光标记阴性对照1nmol，阳性对照1nmol</t>
  </si>
  <si>
    <t>UHP-siRNA即用型化学修饰1/3套餐合成</t>
  </si>
  <si>
    <t>Prsiut006-003</t>
  </si>
  <si>
    <t>UHP-siRNA即用型化学修饰2/5套餐合成</t>
  </si>
  <si>
    <t>Prsiut006-005</t>
  </si>
  <si>
    <t>转染试剂500ul，阴性对照2nmol，荧光标记阴性对照1nmol，阳性对照1nmol</t>
  </si>
  <si>
    <t>常规RNA合成</t>
  </si>
  <si>
    <t>RNA常规定制合成（16~30nt）</t>
  </si>
  <si>
    <t>PR001-005</t>
  </si>
  <si>
    <t>RNA非修饰超短定制合成（ 10~15nt）</t>
  </si>
  <si>
    <t>PR002-005</t>
  </si>
  <si>
    <t>RNA非修饰长序列定制合成（31~59nt）</t>
  </si>
  <si>
    <t>PR003-005</t>
  </si>
  <si>
    <t>RNA非修饰超长序列定制合成（60~120nt）</t>
  </si>
  <si>
    <t>PR004-005</t>
  </si>
  <si>
    <t>RNA修饰定制合成（16~30nt）</t>
  </si>
  <si>
    <t>PR005-005</t>
  </si>
  <si>
    <t>RNA修饰超短定制合成（ 10~15nt）</t>
  </si>
  <si>
    <t>PR006-005</t>
  </si>
  <si>
    <t>RNA修饰长序列定制合成（31~59nt）</t>
  </si>
  <si>
    <t>PR007-005</t>
  </si>
  <si>
    <t>RNA修饰超长序列定制合成（60~120nt）</t>
  </si>
  <si>
    <t>PR008-005</t>
  </si>
  <si>
    <t>RNAi文库</t>
  </si>
  <si>
    <t>定制化siRNA 文库</t>
  </si>
  <si>
    <t>PR010</t>
  </si>
  <si>
    <t>0.25nmol</t>
  </si>
  <si>
    <t>Human Genome siRNA Premix Library</t>
  </si>
  <si>
    <t>PR011</t>
  </si>
  <si>
    <t>0.25nmol*2.2个编码基因</t>
  </si>
  <si>
    <t>RBP siRNA文库</t>
  </si>
  <si>
    <t>PR012</t>
  </si>
  <si>
    <t>0.25nmol*1199个重要的RBP基因的siRNA文库</t>
  </si>
  <si>
    <t>Kinase</t>
  </si>
  <si>
    <t>PR013</t>
  </si>
  <si>
    <t>0.25nmol*499个重要的Kinase基因的siRNA文库</t>
  </si>
  <si>
    <t>Phosphtases</t>
  </si>
  <si>
    <t>PR014</t>
  </si>
  <si>
    <t>0.25nmol*218个重要的Kinase基因的siRNA文库</t>
  </si>
  <si>
    <t>Chemokine Receptors</t>
  </si>
  <si>
    <t>PR015</t>
  </si>
  <si>
    <t>0.25nmol*12个重要的Kinase基因的siRNA文库</t>
  </si>
  <si>
    <t>Proteases gene</t>
  </si>
  <si>
    <t>PR016</t>
  </si>
  <si>
    <t>0.25nmol*590个重要的Kinase基因的siRNA文库</t>
  </si>
  <si>
    <t>Metastasis gene</t>
  </si>
  <si>
    <t>PR017</t>
  </si>
  <si>
    <t>0.25nmol*150个重要的Kinase基因的siRNA文库</t>
  </si>
  <si>
    <t>Apoptosis</t>
  </si>
  <si>
    <t>PR018</t>
  </si>
  <si>
    <t>0.25nmol*532个重要的Kinase基因的siRNA文库</t>
  </si>
  <si>
    <t>Transcription factors</t>
  </si>
  <si>
    <t>PR019</t>
  </si>
  <si>
    <t>1nmol*5457</t>
  </si>
  <si>
    <t>Human Epigenetics siRNA Library</t>
  </si>
  <si>
    <t>PR020</t>
  </si>
  <si>
    <t>1nmol*1563</t>
  </si>
  <si>
    <t>Silencer™ Select 人药物靶标 siRNA 文库（384 孔）</t>
  </si>
  <si>
    <t>PR021</t>
  </si>
  <si>
    <t>1nmol*23778</t>
  </si>
  <si>
    <t>RNAi服务</t>
  </si>
  <si>
    <t>有效靶点筛选验证服务</t>
  </si>
  <si>
    <t>PR022</t>
  </si>
  <si>
    <t>3选1靶点筛选验证服务 WB和QPCR</t>
  </si>
  <si>
    <t>1万</t>
  </si>
  <si>
    <t>细胞功能验证服务</t>
  </si>
  <si>
    <t>PR023</t>
  </si>
  <si>
    <t>每次每项</t>
  </si>
  <si>
    <t>500元/次</t>
  </si>
  <si>
    <t>miRNA类</t>
  </si>
  <si>
    <t>常规miRNA mimics合成</t>
  </si>
  <si>
    <t>PRmi001-002</t>
  </si>
  <si>
    <t>PRmi001-005</t>
  </si>
  <si>
    <t>PRmi001-010</t>
  </si>
  <si>
    <t>PRmi001-100</t>
  </si>
  <si>
    <t>PRmi001-200</t>
  </si>
  <si>
    <t>询价5988</t>
  </si>
  <si>
    <t>PRmi001-500</t>
  </si>
  <si>
    <t>询价11988</t>
  </si>
  <si>
    <t>PRmi001-201</t>
  </si>
  <si>
    <t>PRmi001-101</t>
  </si>
  <si>
    <t>PRmi001-102</t>
  </si>
  <si>
    <t>PRmi001-105</t>
  </si>
  <si>
    <t>PRmi001-110</t>
  </si>
  <si>
    <t>常规miRNA Inhibitor合成</t>
  </si>
  <si>
    <t>PRmiT001-002</t>
  </si>
  <si>
    <t>PRmiT001-005</t>
  </si>
  <si>
    <t>PRmiT001-010</t>
  </si>
  <si>
    <t>PRmiT001-100</t>
  </si>
  <si>
    <t>PRmiT001-200</t>
  </si>
  <si>
    <t>PRmiT001-500</t>
  </si>
  <si>
    <t>PRmiT001-201</t>
  </si>
  <si>
    <t>PRmiT001-101</t>
  </si>
  <si>
    <t>PRmiT001-102</t>
  </si>
  <si>
    <t>PRmiT001-105</t>
  </si>
  <si>
    <t>PRmiT001-110</t>
  </si>
  <si>
    <t>修饰miRNA agomir合成</t>
  </si>
  <si>
    <t>PRmia001-002</t>
  </si>
  <si>
    <t>PRmia101-005</t>
  </si>
  <si>
    <t>PRmia101-010</t>
  </si>
  <si>
    <t>PRmia101-100</t>
  </si>
  <si>
    <t>PRmia101-200</t>
  </si>
  <si>
    <t>询价5958</t>
  </si>
  <si>
    <t>PRmia101-500</t>
  </si>
  <si>
    <t>询价11958</t>
  </si>
  <si>
    <t>PRmia101-201</t>
  </si>
  <si>
    <t>PRmia101-101</t>
  </si>
  <si>
    <t>PRmia101-102</t>
  </si>
  <si>
    <t>PRmia101-105</t>
  </si>
  <si>
    <t>PRmia101-110</t>
  </si>
  <si>
    <t>修饰miRNA antagomir合成</t>
  </si>
  <si>
    <t>PRmia201-002</t>
  </si>
  <si>
    <t>PRmia201-005</t>
  </si>
  <si>
    <t>PRmia201-010</t>
  </si>
  <si>
    <t>PRmia201-100</t>
  </si>
  <si>
    <t>PRmia201-200</t>
  </si>
  <si>
    <t>PRmia201-500</t>
  </si>
  <si>
    <t>PRmia201-201</t>
  </si>
  <si>
    <t>PRmia201-101</t>
  </si>
  <si>
    <t>PRmia201-102</t>
  </si>
  <si>
    <t>PRmia201-105</t>
  </si>
  <si>
    <t>PRmia201-110</t>
  </si>
  <si>
    <t>pre-miRNA mimic</t>
  </si>
  <si>
    <t>PRmip101-002</t>
  </si>
  <si>
    <t>PRmip101-005</t>
  </si>
  <si>
    <t>PRmip101-010</t>
  </si>
  <si>
    <t>PRmip101-100</t>
  </si>
  <si>
    <t>PRmip101-200</t>
  </si>
  <si>
    <t>PRmip101-500</t>
  </si>
  <si>
    <t>PRmip101-201</t>
  </si>
  <si>
    <t>PRmip101-202</t>
  </si>
  <si>
    <t>PRmip101-203</t>
  </si>
  <si>
    <t>PRmip101-204</t>
  </si>
  <si>
    <t>miRNA文库</t>
  </si>
  <si>
    <t>homo miRNA 文库 A库（5p）</t>
  </si>
  <si>
    <t>PRmi301</t>
  </si>
  <si>
    <t>0.25nmol/gene数量*120元(100个miRNA起订)</t>
  </si>
  <si>
    <t>homo miRNA 文库 B库（3p）</t>
  </si>
  <si>
    <t>PRmi302</t>
  </si>
  <si>
    <t>Mus miRNA 文库 A库（5p）</t>
  </si>
  <si>
    <t>PRmi401</t>
  </si>
  <si>
    <t>Mus  miRNA 文库 B库（3p）</t>
  </si>
  <si>
    <t>PRmi402</t>
  </si>
  <si>
    <t>Rat miRNA 文库 A库（5p）</t>
  </si>
  <si>
    <t>PRmi501</t>
  </si>
  <si>
    <t>Rat miRNA 文库 B库（3p）</t>
  </si>
  <si>
    <t>PRmi502</t>
  </si>
  <si>
    <t>双荧光素有效靶点筛选验证服务</t>
  </si>
  <si>
    <t>PRmi601</t>
  </si>
  <si>
    <t>PRmi701</t>
  </si>
  <si>
    <t>基因编辑</t>
  </si>
  <si>
    <t>常规crRNA合成</t>
  </si>
  <si>
    <t>PRc001-002</t>
  </si>
  <si>
    <t>常规tracraRNA合成</t>
  </si>
  <si>
    <t>PRt001-002</t>
  </si>
  <si>
    <t>常规gRNA合成</t>
  </si>
  <si>
    <t>PRg001-002</t>
  </si>
  <si>
    <t>修饰crRNA合成</t>
  </si>
  <si>
    <t>PRc101-002</t>
  </si>
  <si>
    <t>化学修饰tracraRNA合成</t>
  </si>
  <si>
    <t>PRt101-002</t>
  </si>
  <si>
    <t>修饰gRNA合成</t>
  </si>
  <si>
    <t>PRg101-002</t>
  </si>
  <si>
    <t>特殊说明与售后保证：</t>
  </si>
  <si>
    <r>
      <rPr>
        <sz val="12"/>
        <rFont val="宋体"/>
        <charset val="134"/>
      </rPr>
      <t>1.siRNA套装售后保证：针对每个靶基因 (</t>
    </r>
    <r>
      <rPr>
        <sz val="12"/>
        <color rgb="FFFF0000"/>
        <rFont val="宋体"/>
        <charset val="134"/>
      </rPr>
      <t>仅人、小鼠、大鼠的mRNA，且符合我司套餐设计原则</t>
    </r>
    <r>
      <rPr>
        <sz val="12"/>
        <rFont val="宋体"/>
        <charset val="134"/>
      </rPr>
      <t xml:space="preserve"> )设计1/3或2/5套餐siRNA（各5nmol），确保在标准使用条件下至少1或2对siRNA的mRNA水平沉默效率达70%以上。无效免费重新设计合成一次，</t>
    </r>
    <r>
      <rPr>
        <b/>
        <sz val="12"/>
        <rFont val="宋体"/>
        <charset val="134"/>
      </rPr>
      <t>针对退、换货产品不再享受免费重合</t>
    </r>
    <r>
      <rPr>
        <sz val="12"/>
        <rFont val="宋体"/>
        <charset val="134"/>
      </rPr>
      <t xml:space="preserve">。非套餐合成的相关序列不保证干扰效果，但统一保证序列合成正确（以质谱鉴定报告为准，分子量偏差不超过2‰），纯度达到质检要求（以HPLC报告为准，纯度达到90%）。 </t>
    </r>
  </si>
  <si>
    <t>2.基因编辑套装售后保证：crRNA套装针对每个靶基因  (仅人源，且符合我司套餐设计原则 )，设计3或5条crRNA（各5nmol），确保在标准使用条件下至少1或2条有编辑效应，以测序为准。无效免费重新设计合成一次，针对退、换货产品不再享受免费重合。非套餐合成的相关序列不保证干扰效果，但统一保证序列合成正确（以质谱鉴定报告为准，分子量偏差不超过2‰），纯度达到质检要求（以HPLC报告为准，纯度达到90%）。</t>
  </si>
  <si>
    <t>3.订购miRNA,务必填写标准miRNA名称，注明需要合成5p或3p序列，订购inhibitor务必注明，否则按照mimic合成</t>
  </si>
  <si>
    <t>产品或服务</t>
  </si>
  <si>
    <t>建议价格</t>
  </si>
  <si>
    <t>ASO</t>
  </si>
  <si>
    <t>UHP ASO</t>
  </si>
  <si>
    <t>PRASO101-002</t>
  </si>
  <si>
    <t>PRASO101-005</t>
  </si>
  <si>
    <t>PRASO101-010</t>
  </si>
  <si>
    <t>PRASO101-100</t>
  </si>
  <si>
    <t>PRASO101-200</t>
  </si>
  <si>
    <t>PRASO101-500</t>
  </si>
  <si>
    <t>PRASO101-201</t>
  </si>
  <si>
    <t>PRASO101-101</t>
  </si>
  <si>
    <t>PRASO101-102</t>
  </si>
  <si>
    <t>PRASO101-105</t>
  </si>
  <si>
    <t>PRASO101-110</t>
  </si>
  <si>
    <t>FUHP SiASO</t>
  </si>
  <si>
    <t>PRASO201-002</t>
  </si>
  <si>
    <t>PRASO201-005</t>
  </si>
  <si>
    <t>PRASO201-010</t>
  </si>
  <si>
    <t>PRASO201-100</t>
  </si>
  <si>
    <t>PRASO201-200</t>
  </si>
  <si>
    <t>PRASO201-500</t>
  </si>
  <si>
    <t>PRASO201-201</t>
  </si>
  <si>
    <t>PRASO201-101</t>
  </si>
  <si>
    <t>PRASO201-102</t>
  </si>
  <si>
    <t>PRASO201-105</t>
  </si>
  <si>
    <t>PRASO201-110</t>
  </si>
  <si>
    <t xml:space="preserve">ASO常规定制 </t>
  </si>
  <si>
    <t>PRASO301-002</t>
  </si>
  <si>
    <t xml:space="preserve">2.5nmol </t>
  </si>
  <si>
    <t>PRASO301-005</t>
  </si>
  <si>
    <t>PRASO301-010</t>
  </si>
  <si>
    <t>PRASO301-100</t>
  </si>
  <si>
    <t>PRASO301-200</t>
  </si>
  <si>
    <t>PRASO301-500</t>
  </si>
  <si>
    <t>PRASO301-201</t>
  </si>
  <si>
    <t>PRASO301-101</t>
  </si>
  <si>
    <t>PRASO301-102</t>
  </si>
  <si>
    <t>PRASO301-105</t>
  </si>
  <si>
    <t xml:space="preserve">ASO特殊修饰客户定制 </t>
  </si>
  <si>
    <t>PRASO401-002</t>
  </si>
  <si>
    <t>PRASO401-005</t>
  </si>
  <si>
    <t>PRASO401-010</t>
  </si>
  <si>
    <t>PRASO401-100</t>
  </si>
  <si>
    <t>PRASO401-200</t>
  </si>
  <si>
    <t>PRASO401-500</t>
  </si>
  <si>
    <t>PRASO401-201</t>
  </si>
  <si>
    <t>PRASO401-101</t>
  </si>
  <si>
    <t>PRASO401-102</t>
  </si>
  <si>
    <t>PRASO401-105</t>
  </si>
  <si>
    <t>PRASO501</t>
  </si>
  <si>
    <t>PRASO502</t>
  </si>
  <si>
    <t>售后保证：1.ASO套装售后保证：针对每个靶基因 (仅人、小鼠、大鼠的mRNA，且符合我司套餐设计原则 )设计1/3或2/5套餐ASO（各5nmol），确保在标准使用条件下至少1或2条ASO的mRNA水平沉默效率达到显著性差异。无效免费重新设计合成一次，针对退、换货产品不再享受免费重合。非套餐合成的相关序列不保证干扰效果，但统一保证序列合成正确（以质谱鉴定报告为准，分子量偏差不超过2‰），纯度达到质检要求（以HPLC报告为准，纯度达到90%）。</t>
  </si>
  <si>
    <t>UHP-siRNA化学修饰单靶点合成
Ultra-High Performance UHP</t>
  </si>
  <si>
    <t>DNA修饰</t>
  </si>
  <si>
    <t>RNA修饰</t>
  </si>
  <si>
    <t>中间修饰</t>
  </si>
  <si>
    <t>代码</t>
  </si>
  <si>
    <t>修饰碱基</t>
  </si>
  <si>
    <t>常用兼并碱基代码</t>
  </si>
  <si>
    <t>2`-O-Methyl A</t>
  </si>
  <si>
    <t>/i2OMeA/</t>
  </si>
  <si>
    <t>A</t>
  </si>
  <si>
    <t>M:(A/C)</t>
  </si>
  <si>
    <t>V:(A/C/G)</t>
  </si>
  <si>
    <t>dA</t>
  </si>
  <si>
    <t>2`-O-Methyl B</t>
  </si>
  <si>
    <t>/i2OMeB/</t>
  </si>
  <si>
    <t>B</t>
  </si>
  <si>
    <t>R:(A/G)</t>
  </si>
  <si>
    <t>H:(A/C/T)</t>
  </si>
  <si>
    <t>dG</t>
  </si>
  <si>
    <t>H:(A/C/U)</t>
  </si>
  <si>
    <t>2`-O-Methyl C</t>
  </si>
  <si>
    <t>/i2OMeC/</t>
  </si>
  <si>
    <t>C</t>
  </si>
  <si>
    <t>W:(A/T)</t>
  </si>
  <si>
    <t>D:(A/G/T)</t>
  </si>
  <si>
    <t>dC</t>
  </si>
  <si>
    <t>W:(A/U)</t>
  </si>
  <si>
    <t>D:(A/G/U)</t>
  </si>
  <si>
    <t>2`-O-Methyl D</t>
  </si>
  <si>
    <t>/i2OMeD/</t>
  </si>
  <si>
    <t>D</t>
  </si>
  <si>
    <t>S:(C/G)</t>
  </si>
  <si>
    <t>B:(C/G/T)</t>
  </si>
  <si>
    <t>dT</t>
  </si>
  <si>
    <t>B:(C/G/U)</t>
  </si>
  <si>
    <t>2`-O-Methyl G</t>
  </si>
  <si>
    <t>/i2OMeG/</t>
  </si>
  <si>
    <t>G</t>
  </si>
  <si>
    <t>Y:(C/T)</t>
  </si>
  <si>
    <t>N:(A/G/C/T)</t>
  </si>
  <si>
    <t>LNA-A</t>
  </si>
  <si>
    <t>+A</t>
  </si>
  <si>
    <t>Y:(C/U)</t>
  </si>
  <si>
    <t>N:(A/G/C/U)</t>
  </si>
  <si>
    <t>2`-O-Methyl H</t>
  </si>
  <si>
    <t>/i2OMeH/</t>
  </si>
  <si>
    <t>H</t>
  </si>
  <si>
    <t>K:(G/T)</t>
  </si>
  <si>
    <t>LNA-C</t>
  </si>
  <si>
    <t>+C</t>
  </si>
  <si>
    <t>K:(G/U)</t>
  </si>
  <si>
    <t>2`-O-Methyl K</t>
  </si>
  <si>
    <t>/i2OMeK/</t>
  </si>
  <si>
    <t>K</t>
  </si>
  <si>
    <t>LNA-G</t>
  </si>
  <si>
    <t>+G</t>
  </si>
  <si>
    <t>2`-O-Methyl M</t>
  </si>
  <si>
    <t>/i2OMeM/</t>
  </si>
  <si>
    <t>M</t>
  </si>
  <si>
    <t>LNA-U</t>
  </si>
  <si>
    <t>+T</t>
  </si>
  <si>
    <t>2`-O-Methyl N</t>
  </si>
  <si>
    <t>/i2OMeN/</t>
  </si>
  <si>
    <t>N</t>
  </si>
  <si>
    <t>2`-O-Methyl R</t>
  </si>
  <si>
    <t>/i2OMeR/</t>
  </si>
  <si>
    <t>R</t>
  </si>
  <si>
    <t>2`-O-Methyl S</t>
  </si>
  <si>
    <t>/i2OMeS/</t>
  </si>
  <si>
    <t>S</t>
  </si>
  <si>
    <t>2`-O-Methyl U</t>
  </si>
  <si>
    <t>/i2OMeU/</t>
  </si>
  <si>
    <t>U</t>
  </si>
  <si>
    <t>2`-O-Methyl V</t>
  </si>
  <si>
    <t>/i2OMeV/</t>
  </si>
  <si>
    <t>V</t>
  </si>
  <si>
    <t>2`-O-Methyl W</t>
  </si>
  <si>
    <t>/i2OMeW/</t>
  </si>
  <si>
    <t>W</t>
  </si>
  <si>
    <t>2`-O-Methyl Y</t>
  </si>
  <si>
    <t>/i2OMeY/</t>
  </si>
  <si>
    <t>Y</t>
  </si>
  <si>
    <t>2F-RNA A</t>
  </si>
  <si>
    <t>/i2FA/</t>
  </si>
  <si>
    <t>2F-RNA C</t>
  </si>
  <si>
    <t>/i2FC/</t>
  </si>
  <si>
    <t>2F-RNA G</t>
  </si>
  <si>
    <t>/i2FG/</t>
  </si>
  <si>
    <t>2F-RNA U</t>
  </si>
  <si>
    <t>/i2FU/</t>
  </si>
  <si>
    <t>5-Hydroxmethyl dC</t>
  </si>
  <si>
    <t>/i5HydMe-dC/</t>
  </si>
  <si>
    <t>5-Methyl dC</t>
  </si>
  <si>
    <t>/i5MedC/</t>
  </si>
  <si>
    <t>Int dSpacer</t>
  </si>
  <si>
    <t>/idSp/</t>
  </si>
  <si>
    <t>Int 6-FAM dT</t>
  </si>
  <si>
    <t>/i6FAMdT/</t>
  </si>
  <si>
    <t>T</t>
  </si>
  <si>
    <t>Int AF488 dT</t>
  </si>
  <si>
    <t>/iAF488dT/</t>
  </si>
  <si>
    <t>Int Amino Modifier C6 dT</t>
  </si>
  <si>
    <t>/iAmMC6T/</t>
  </si>
  <si>
    <t>Int BHQ1 dT</t>
  </si>
  <si>
    <t>/iBHQ1dT/</t>
  </si>
  <si>
    <t>Int BHQ2 dT</t>
  </si>
  <si>
    <t>/iBHQ2dT/</t>
  </si>
  <si>
    <t>Int Biotin dT</t>
  </si>
  <si>
    <t>/iBiodT/</t>
  </si>
  <si>
    <t>Int CHCH dT</t>
  </si>
  <si>
    <t>/iCHCHdT/</t>
  </si>
  <si>
    <t>Int Cy3 dT</t>
  </si>
  <si>
    <t>/iCy3dT/</t>
  </si>
  <si>
    <t>Int Cy5 dT</t>
  </si>
  <si>
    <t>/iCy5dT/</t>
  </si>
  <si>
    <t>Int Dabcyl dT</t>
  </si>
  <si>
    <t>/iDABdT/</t>
  </si>
  <si>
    <t>Int Dig dT</t>
  </si>
  <si>
    <t>/iDigdT/</t>
  </si>
  <si>
    <t>Int Ferrocene</t>
  </si>
  <si>
    <t>/iMFEdT/</t>
  </si>
  <si>
    <t>Int FITC dT</t>
  </si>
  <si>
    <t>/iFTICdT/</t>
  </si>
  <si>
    <t>Int HEX dT</t>
  </si>
  <si>
    <t>/iHEXdT/</t>
  </si>
  <si>
    <t>Int JOE dT</t>
  </si>
  <si>
    <t>/iJOEdT/</t>
  </si>
  <si>
    <t>Int ROX dT</t>
  </si>
  <si>
    <t>/iROXdT/</t>
  </si>
  <si>
    <t>Int TAMRA dT</t>
  </si>
  <si>
    <t>/iTAMdT/</t>
  </si>
  <si>
    <t>Int TET dT</t>
  </si>
  <si>
    <t>/iTETdT/</t>
  </si>
  <si>
    <t>Int Texas Red dT</t>
  </si>
  <si>
    <t>/iTexRddT/</t>
  </si>
  <si>
    <t xml:space="preserve">Phosphorothioate </t>
  </si>
  <si>
    <t>*</t>
  </si>
  <si>
    <t>Spacer 18</t>
  </si>
  <si>
    <t>/iSp18/</t>
  </si>
  <si>
    <t>Spacer 9</t>
  </si>
  <si>
    <t>/iSp9/</t>
  </si>
  <si>
    <t xml:space="preserve">Spacer C12 </t>
  </si>
  <si>
    <t>/iSpC12/</t>
  </si>
  <si>
    <t xml:space="preserve">Spacer C3 </t>
  </si>
  <si>
    <t>/iSpC3/</t>
  </si>
  <si>
    <t xml:space="preserve">Spacer C6 </t>
  </si>
  <si>
    <t>/iSp6/</t>
  </si>
  <si>
    <t>deoxyInosine (dI)</t>
  </si>
  <si>
    <t>I</t>
  </si>
  <si>
    <t>deoxyUridine (dU)</t>
  </si>
  <si>
    <t>LNA-T</t>
  </si>
  <si>
    <t>RNA-A</t>
  </si>
  <si>
    <t>rA</t>
  </si>
  <si>
    <t>RNA-C</t>
  </si>
  <si>
    <t>rC</t>
  </si>
  <si>
    <t>RNA-G</t>
  </si>
  <si>
    <t>rG</t>
  </si>
  <si>
    <t>RNA-U</t>
  </si>
  <si>
    <t>rU</t>
  </si>
  <si>
    <t>8-OXO-dG</t>
  </si>
  <si>
    <t>/8OXOdG/</t>
  </si>
  <si>
    <t>Int VIC dT</t>
  </si>
  <si>
    <t>/iVICdT/</t>
  </si>
  <si>
    <t>N6-Me-dA</t>
  </si>
  <si>
    <t>/N6MedA/</t>
  </si>
  <si>
    <t>两端修饰</t>
  </si>
  <si>
    <t>特殊碱基</t>
  </si>
  <si>
    <t>5'6-FAM,3'BHQ1</t>
  </si>
  <si>
    <t>5'6-FAM</t>
  </si>
  <si>
    <t>/56-FAM/</t>
  </si>
  <si>
    <t>3'Super Quencher 1</t>
  </si>
  <si>
    <t>/3SQ1/</t>
  </si>
  <si>
    <t>5'6-FAM,3'BHQ2</t>
  </si>
  <si>
    <t>5'HEX</t>
  </si>
  <si>
    <t>/5HEX/</t>
  </si>
  <si>
    <t>3'Super Quencher 2</t>
  </si>
  <si>
    <t>/3SQ2/</t>
  </si>
  <si>
    <t>5'6-FAM,3'Dabcyl</t>
  </si>
  <si>
    <t>5'VIC</t>
  </si>
  <si>
    <t>/5VIC/</t>
  </si>
  <si>
    <t>3'MGB</t>
  </si>
  <si>
    <t>/3MGB/</t>
  </si>
  <si>
    <t>5'6-FAM,3'Eclipse</t>
  </si>
  <si>
    <t>5'BECU_BF650</t>
  </si>
  <si>
    <t>/5BF650/</t>
  </si>
  <si>
    <t>3'BHQ0</t>
  </si>
  <si>
    <t>/3BHQ0/</t>
  </si>
  <si>
    <t>5'6-FAM,3'MGB</t>
  </si>
  <si>
    <t>5'ROX</t>
  </si>
  <si>
    <t>/5ROX/</t>
  </si>
  <si>
    <t>3'BHQ1</t>
  </si>
  <si>
    <t>/3BHQ1/</t>
  </si>
  <si>
    <t>5'6-FAM,3'Super Quencher 1</t>
  </si>
  <si>
    <t>5'CY5</t>
  </si>
  <si>
    <t>/5CY5/</t>
  </si>
  <si>
    <t>3'BHQ2</t>
  </si>
  <si>
    <t>/3BHQ2/</t>
  </si>
  <si>
    <t>5'6-FAM,3'TAMRA</t>
  </si>
  <si>
    <t>5'CY3</t>
  </si>
  <si>
    <t>/5CY3/</t>
  </si>
  <si>
    <t>3'BHQ3</t>
  </si>
  <si>
    <t>/3BHQ3/</t>
  </si>
  <si>
    <t>5'ATTO425,3'BHQ1</t>
  </si>
  <si>
    <t>5'Biotin</t>
  </si>
  <si>
    <t>/5BIO/</t>
  </si>
  <si>
    <t>3'6-FAM</t>
  </si>
  <si>
    <t>/36-FAM/</t>
  </si>
  <si>
    <t>5'ATTO425,3'MGB</t>
  </si>
  <si>
    <t>5'ATTO425</t>
  </si>
  <si>
    <t>/5ATTO425/</t>
  </si>
  <si>
    <t>3'AF488</t>
  </si>
  <si>
    <t>/3AF488/</t>
  </si>
  <si>
    <t>5'CY3,3'BHQ2</t>
  </si>
  <si>
    <t>5'AF488</t>
  </si>
  <si>
    <t>/5AF488/</t>
  </si>
  <si>
    <t>3'AMCA</t>
  </si>
  <si>
    <t>/3AMCA/</t>
  </si>
  <si>
    <t>5'CY3,3'Dabcyl</t>
  </si>
  <si>
    <t>5'AMCA</t>
  </si>
  <si>
    <t>/5AMCA/</t>
  </si>
  <si>
    <t>3'Aminolinker C6</t>
  </si>
  <si>
    <t>/3AmMC6/</t>
  </si>
  <si>
    <t>DNA-A</t>
  </si>
  <si>
    <t>5'CY3,3'Eclipse</t>
  </si>
  <si>
    <t>5'Aminolinker C12</t>
  </si>
  <si>
    <t>/5AmMC12/</t>
  </si>
  <si>
    <t>3'Aminolinker C7</t>
  </si>
  <si>
    <t>/3AmMC7/</t>
  </si>
  <si>
    <t>DNA-G</t>
  </si>
  <si>
    <t>5'CY3,3'MGB</t>
  </si>
  <si>
    <t>5'Aminolinker C6</t>
  </si>
  <si>
    <t>/5AmMC6/</t>
  </si>
  <si>
    <t>3'ATTO425</t>
  </si>
  <si>
    <t>/3ATTO425/</t>
  </si>
  <si>
    <t>DNA-T</t>
  </si>
  <si>
    <t>5'CY3,3'TAMRA</t>
  </si>
  <si>
    <t>5'BHQ1</t>
  </si>
  <si>
    <t>/5BHQ1/</t>
  </si>
  <si>
    <t>3'Biotin</t>
  </si>
  <si>
    <t>/3BIO/</t>
  </si>
  <si>
    <t>DNA-C</t>
  </si>
  <si>
    <t>5'CY5,3'BHQ2</t>
  </si>
  <si>
    <t>5'BHQ2</t>
  </si>
  <si>
    <t>/5BHQ2/</t>
  </si>
  <si>
    <t>3'CHCH</t>
  </si>
  <si>
    <t>/3CHCH/</t>
  </si>
  <si>
    <t>5'CY5,3'BHQ3</t>
  </si>
  <si>
    <r>
      <rPr>
        <sz val="10"/>
        <rFont val="Calibri"/>
        <charset val="134"/>
      </rPr>
      <t>Phosphorothioate</t>
    </r>
    <r>
      <rPr>
        <sz val="10"/>
        <rFont val="Calibri"/>
        <charset val="134"/>
      </rPr>
      <t xml:space="preserve"> </t>
    </r>
  </si>
  <si>
    <t>5'Cholesteryl</t>
  </si>
  <si>
    <t>/5Chol/</t>
  </si>
  <si>
    <t>3'Cholesteryl</t>
  </si>
  <si>
    <t>/3Chol/</t>
  </si>
  <si>
    <t>5'CY5,3'MGB</t>
  </si>
  <si>
    <t>5'CY5.5</t>
  </si>
  <si>
    <t>/5CY5.5/</t>
  </si>
  <si>
    <t>3'CY3</t>
  </si>
  <si>
    <t>/3CY3/</t>
  </si>
  <si>
    <t>5'CY5.5,3'BHQ2</t>
  </si>
  <si>
    <t>5'CY7</t>
  </si>
  <si>
    <t>/5CY7/</t>
  </si>
  <si>
    <t>3'CY5</t>
  </si>
  <si>
    <t>/3CY5/</t>
  </si>
  <si>
    <t>5'CY5.5,3'BHQ3</t>
  </si>
  <si>
    <t>5'Dabcyl</t>
  </si>
  <si>
    <t>/5DAB/</t>
  </si>
  <si>
    <t>3'CY5.5</t>
  </si>
  <si>
    <t>/3CY5.5/</t>
  </si>
  <si>
    <t>5'CY7,3'BHQ2</t>
  </si>
  <si>
    <t>5'DIG</t>
  </si>
  <si>
    <t>/5DIG/</t>
  </si>
  <si>
    <t>3'CY7</t>
  </si>
  <si>
    <t>/3CY7/</t>
  </si>
  <si>
    <t>5'CY7,3'BHQ3</t>
  </si>
  <si>
    <t>5'Ferrocene</t>
  </si>
  <si>
    <t>/5Ferrocene/</t>
  </si>
  <si>
    <t>3'Dabcyl</t>
  </si>
  <si>
    <t>/3DAB/</t>
  </si>
  <si>
    <t>5'HEX,3'BHQ1</t>
  </si>
  <si>
    <t>5'FITC</t>
  </si>
  <si>
    <t>/5FITC/</t>
  </si>
  <si>
    <t>3'ddC</t>
  </si>
  <si>
    <t>/3ddC/</t>
  </si>
  <si>
    <t>5'HEX,3'BHQ2</t>
  </si>
  <si>
    <t>5'JOE</t>
  </si>
  <si>
    <t>/5JOE/</t>
  </si>
  <si>
    <t>3'Digoxigenin</t>
  </si>
  <si>
    <t>/3DIG/</t>
  </si>
  <si>
    <t>5'HEX,3'Dabcyl</t>
  </si>
  <si>
    <t>5'NED</t>
  </si>
  <si>
    <t>/5NED/</t>
  </si>
  <si>
    <t>3'Eclipse</t>
  </si>
  <si>
    <t>/3ECL/</t>
  </si>
  <si>
    <t>5'HEX,3'Eclipse</t>
  </si>
  <si>
    <t>5'Phosphate</t>
  </si>
  <si>
    <t>/5PHO/</t>
  </si>
  <si>
    <t>3'Ferrocene</t>
  </si>
  <si>
    <t>/3Ferrocene/</t>
  </si>
  <si>
    <t>5'HEX,3'MGB</t>
  </si>
  <si>
    <t>5'Quasar 670</t>
  </si>
  <si>
    <t>/5Q670/</t>
  </si>
  <si>
    <t>3'FITC</t>
  </si>
  <si>
    <t>/3FITC/</t>
  </si>
  <si>
    <t>5'HEX,3'Super Quencher 1</t>
  </si>
  <si>
    <t>5'Thiol C6</t>
  </si>
  <si>
    <t>/5THL/</t>
  </si>
  <si>
    <t>3'HEX</t>
  </si>
  <si>
    <t>/3HEX/</t>
  </si>
  <si>
    <t>5'HEX,3'TAMRA</t>
  </si>
  <si>
    <t>5'Spacer 18</t>
  </si>
  <si>
    <t>/5SP18/</t>
  </si>
  <si>
    <t>3'Inverted dT</t>
  </si>
  <si>
    <t>/3InvdT/</t>
  </si>
  <si>
    <t>5'JOE,3'BHQ1</t>
  </si>
  <si>
    <t>5'Spacer C3</t>
  </si>
  <si>
    <t>/5SC3/</t>
  </si>
  <si>
    <t>3'JOE</t>
  </si>
  <si>
    <t>/3JOE/</t>
  </si>
  <si>
    <t>5'JOE,3'Dabcyl</t>
  </si>
  <si>
    <t>i2FrA</t>
  </si>
  <si>
    <t>5'TAMRA</t>
  </si>
  <si>
    <t>/5TAM/</t>
  </si>
  <si>
    <t>3'Phosphate</t>
  </si>
  <si>
    <t>/3PHO/</t>
  </si>
  <si>
    <t>5'JOE,3'Eclipse</t>
  </si>
  <si>
    <t>i2FrC</t>
  </si>
  <si>
    <t>5'TET</t>
  </si>
  <si>
    <t>/5TET/</t>
  </si>
  <si>
    <t>3'Quasar 670</t>
  </si>
  <si>
    <t>/3Q670/</t>
  </si>
  <si>
    <t>5'JOE,3'MGB</t>
  </si>
  <si>
    <t>i2FrG</t>
  </si>
  <si>
    <t>5'Texas Red-X</t>
  </si>
  <si>
    <t>/5TexRd-X/</t>
  </si>
  <si>
    <t>3'ROX</t>
  </si>
  <si>
    <t>/3ROX/</t>
  </si>
  <si>
    <t>5'JOE,3'TAMRA</t>
  </si>
  <si>
    <t>i2FrU</t>
  </si>
  <si>
    <t>5'Thiol Modifier C6-S-S</t>
  </si>
  <si>
    <t>/5THS/</t>
  </si>
  <si>
    <t>3'Thiol C6</t>
  </si>
  <si>
    <t>/3THL/</t>
  </si>
  <si>
    <t>5'NED,3'BHQ2</t>
  </si>
  <si>
    <t>5' Methylene Blue</t>
  </si>
  <si>
    <t>/5MBlue/</t>
  </si>
  <si>
    <t>3'Spacer 18</t>
  </si>
  <si>
    <t>/3SP18/</t>
  </si>
  <si>
    <t>5'NED,3'Dabcyl</t>
  </si>
  <si>
    <t>5'AIE</t>
  </si>
  <si>
    <t>/5AIE/</t>
  </si>
  <si>
    <t>3'Spacer C3</t>
  </si>
  <si>
    <t>/3SC3/</t>
  </si>
  <si>
    <t>5'NED,3'Eclipse</t>
  </si>
  <si>
    <t>/iAmMC6dT/</t>
  </si>
  <si>
    <t>5'Alexa Fluor 405</t>
  </si>
  <si>
    <t>/5AF405/</t>
  </si>
  <si>
    <t>3'TAMRA</t>
  </si>
  <si>
    <t>/3'TAM/</t>
  </si>
  <si>
    <t>5'NED,3'TAMRA</t>
  </si>
  <si>
    <t>5'Alkyne</t>
  </si>
  <si>
    <t>/5Alkyne/</t>
  </si>
  <si>
    <t>3'Texas Red-X</t>
  </si>
  <si>
    <t>/3TexRd-X/</t>
  </si>
  <si>
    <t>5'Quasar 670,3'BHQ2</t>
  </si>
  <si>
    <t>5'ATTO 647N</t>
  </si>
  <si>
    <t>/5ATTO647N/</t>
  </si>
  <si>
    <t>3'Thiol Modifier C6-S-S</t>
  </si>
  <si>
    <t>/3THS/</t>
  </si>
  <si>
    <t>5'Quasar 670,3'BHQ3</t>
  </si>
  <si>
    <t>5'ATTO390</t>
  </si>
  <si>
    <t>/5ATTO390/</t>
  </si>
  <si>
    <t>3'Super Quencher 0</t>
  </si>
  <si>
    <t>/3SQ0/</t>
  </si>
  <si>
    <t>5'Quasar 670,3'MGB</t>
  </si>
  <si>
    <t>5'ATTO594</t>
  </si>
  <si>
    <t>/5ATTO594/</t>
  </si>
  <si>
    <t>3'Quasar 705</t>
  </si>
  <si>
    <t>/3Q705/</t>
  </si>
  <si>
    <t>5'ROX,3'BHQ2</t>
  </si>
  <si>
    <t>5'ATTO633</t>
  </si>
  <si>
    <t>/5ATTO633/</t>
  </si>
  <si>
    <t>3'DQC2</t>
  </si>
  <si>
    <t>/3DQC2/</t>
  </si>
  <si>
    <t>5'ROX,3'Dabcyl</t>
  </si>
  <si>
    <t>5'ATTO680</t>
  </si>
  <si>
    <t>/5ATTO680/</t>
  </si>
  <si>
    <t>3'ZIP4</t>
  </si>
  <si>
    <t>/3ZIP4/</t>
  </si>
  <si>
    <t>5'ROX,3'Eclipse</t>
  </si>
  <si>
    <t>5'BIO-TEG</t>
  </si>
  <si>
    <t>/5BIO-TEG/</t>
  </si>
  <si>
    <t>3' Methylene Blue</t>
  </si>
  <si>
    <t>/3MBlue/</t>
  </si>
  <si>
    <t>5'ROX,3'MGB</t>
  </si>
  <si>
    <t>5'CAL Fluor Red 635</t>
  </si>
  <si>
    <t>/5CAL Fluor Red 635/</t>
  </si>
  <si>
    <t>3'Alkyne</t>
  </si>
  <si>
    <t>/3Alkyne/</t>
  </si>
  <si>
    <t>5'ROX,3'TAMRA</t>
  </si>
  <si>
    <r>
      <rPr>
        <sz val="10"/>
        <rFont val="Calibri"/>
        <charset val="134"/>
      </rPr>
      <t>Spacer C12</t>
    </r>
    <r>
      <rPr>
        <sz val="10"/>
        <rFont val="Calibri"/>
        <charset val="134"/>
      </rPr>
      <t xml:space="preserve"> </t>
    </r>
  </si>
  <si>
    <t>5'DBCO</t>
  </si>
  <si>
    <t>/5DBCO/</t>
  </si>
  <si>
    <t>5'TAMRA,3'BHQ2</t>
  </si>
  <si>
    <r>
      <rPr>
        <sz val="10"/>
        <rFont val="Calibri"/>
        <charset val="134"/>
      </rPr>
      <t>Spacer C3</t>
    </r>
    <r>
      <rPr>
        <sz val="10"/>
        <rFont val="Calibri"/>
        <charset val="134"/>
      </rPr>
      <t xml:space="preserve"> </t>
    </r>
  </si>
  <si>
    <t>5'Dual Biotin</t>
  </si>
  <si>
    <t>/5dBIO/</t>
  </si>
  <si>
    <t>5'TAMRA,3'Dabcyl</t>
  </si>
  <si>
    <r>
      <rPr>
        <sz val="10"/>
        <rFont val="Calibri"/>
        <charset val="134"/>
      </rPr>
      <t>Spacer C6</t>
    </r>
    <r>
      <rPr>
        <sz val="10"/>
        <rFont val="Calibri"/>
        <charset val="134"/>
      </rPr>
      <t xml:space="preserve"> </t>
    </r>
  </si>
  <si>
    <t>5'dual FAM</t>
  </si>
  <si>
    <t>/5dFAM/</t>
  </si>
  <si>
    <t>5'TAMRA,3'Eclipse</t>
  </si>
  <si>
    <t>5'Dylight755</t>
  </si>
  <si>
    <t>/5DY755/</t>
  </si>
  <si>
    <t>5'TAMRA,3'MGB</t>
  </si>
  <si>
    <t>5'Quasar 705</t>
  </si>
  <si>
    <t>/5Q705/</t>
  </si>
  <si>
    <t>5'TET,3'BHQ1</t>
  </si>
  <si>
    <t>5'rApp</t>
  </si>
  <si>
    <t>/5rApp/</t>
  </si>
  <si>
    <t>5'TET,3'BHQ2</t>
  </si>
  <si>
    <t>5'TMT</t>
  </si>
  <si>
    <t>/5TMT/</t>
  </si>
  <si>
    <t>5'TET,3'Dabcyl</t>
  </si>
  <si>
    <t>5'TET,3'Eclipse</t>
  </si>
  <si>
    <t>5'TET,3'MGB</t>
  </si>
  <si>
    <t>5'TET,3'TAMRA</t>
  </si>
  <si>
    <t>5'Texas Red-X,3'BHQ2</t>
  </si>
  <si>
    <t>5'Texas Red-X,3'Dabcyl</t>
  </si>
  <si>
    <t>5'Texas Red-X,3'Eclipse</t>
  </si>
  <si>
    <t>/i8OXOdG/</t>
  </si>
  <si>
    <t>5'Texas Red-X,3'MGB</t>
  </si>
  <si>
    <t>int-VIC-dT</t>
  </si>
  <si>
    <t>5'Texas Red-X,3'TAMRA</t>
  </si>
  <si>
    <t>/int-N6-Me-Da/</t>
  </si>
  <si>
    <t>5'VIC,3'BHQ1</t>
  </si>
  <si>
    <t>int-DMT-BHQ1</t>
  </si>
  <si>
    <t>/iBHQ1/</t>
  </si>
  <si>
    <t>5'VIC,3'Dabcyl</t>
  </si>
  <si>
    <t>int-DMT-BHQ2</t>
  </si>
  <si>
    <t>/iBHQ2/</t>
  </si>
  <si>
    <t>5'VIC,3'Eclipse</t>
  </si>
  <si>
    <t>int-FSJ</t>
  </si>
  <si>
    <t>/iFSJ/</t>
  </si>
  <si>
    <t>5'VIC,3'MGB</t>
  </si>
  <si>
    <t>int-DQC2</t>
  </si>
  <si>
    <t>/iDQC2/</t>
  </si>
  <si>
    <t>5'VIC,3'Super Quencher 1</t>
  </si>
  <si>
    <t>int-Alkyne</t>
  </si>
  <si>
    <t>/iAlkyne/</t>
  </si>
  <si>
    <t>5'BECU_BF650,3'Super Quencher 2</t>
  </si>
  <si>
    <t>int-CY5.5 dT</t>
  </si>
  <si>
    <t>/iCY5.5dT/</t>
  </si>
  <si>
    <t>5'VIC,3'TAMRA</t>
  </si>
  <si>
    <t>int-DQC</t>
  </si>
  <si>
    <t>/iDQC/</t>
  </si>
  <si>
    <t>5'ATTO 647N,3'MGB</t>
  </si>
  <si>
    <t>int-ATTO425 dT</t>
  </si>
  <si>
    <t>/i425dT/</t>
  </si>
  <si>
    <t>5'Alexa Fluor 405,3'BHQ0</t>
  </si>
  <si>
    <t>int-ZIP</t>
  </si>
  <si>
    <t>/iZIP/</t>
  </si>
  <si>
    <t>5'rApp,3'AMN</t>
  </si>
  <si>
    <t>5'BECU_BF650,3'MGB</t>
  </si>
  <si>
    <t>5'6-FAM,3'Super Quencher 0</t>
  </si>
  <si>
    <t>5'HEX,3'Super Quencher 0</t>
  </si>
  <si>
    <t>5'VIC,3'Super Quencher 0</t>
  </si>
  <si>
    <t>质检代码说明</t>
  </si>
  <si>
    <t>代码说明</t>
  </si>
  <si>
    <t>不提供质检报告</t>
  </si>
  <si>
    <t>HPTP</t>
  </si>
  <si>
    <t>HPLC报告</t>
  </si>
  <si>
    <t>MSTP</t>
  </si>
  <si>
    <t>MS报告</t>
  </si>
  <si>
    <t>H+M</t>
  </si>
  <si>
    <t>HPLC报告+MS报告</t>
  </si>
  <si>
    <t>H+F</t>
  </si>
  <si>
    <t>HPLC报告+全波长扫描报告</t>
  </si>
  <si>
    <t>M+F</t>
  </si>
  <si>
    <t>MS报告+全波长扫描报告</t>
  </si>
  <si>
    <t>H+M+F</t>
  </si>
  <si>
    <t>HPLC报告+MS报告+全波长扫描报告</t>
  </si>
  <si>
    <t>H+M+C</t>
  </si>
  <si>
    <t>HPLC报告+MS报告+溶液交付浓度报告</t>
  </si>
  <si>
    <t>H+M+F+C</t>
  </si>
  <si>
    <t>HPLC报告+MS报告+全波长扫描报告+溶液交付浓度报告</t>
  </si>
  <si>
    <t>默认参数</t>
  </si>
  <si>
    <t>干粉（稳定）</t>
  </si>
  <si>
    <t>ATGCCAGTGCAGTCAGTC</t>
  </si>
  <si>
    <t>HPLC</t>
  </si>
  <si>
    <t>BLG白色标签</t>
  </si>
  <si>
    <t>1.5ml离心管</t>
  </si>
  <si>
    <t>退火序列填写</t>
  </si>
  <si>
    <t>1*TE 100uM</t>
  </si>
  <si>
    <t>ATGCCAGTGCAGTCAGTCAGTC</t>
  </si>
  <si>
    <t>GACTGACTGACTGCACTGGCAT</t>
  </si>
  <si>
    <t>RNA中插入DNA序列填写</t>
  </si>
  <si>
    <r>
      <rPr>
        <sz val="9"/>
        <rFont val="等线"/>
        <charset val="134"/>
      </rPr>
      <t>ATGCCA</t>
    </r>
    <r>
      <rPr>
        <sz val="9"/>
        <color rgb="FFFF0000"/>
        <rFont val="等线"/>
        <charset val="134"/>
      </rPr>
      <t>dG</t>
    </r>
    <r>
      <rPr>
        <sz val="9"/>
        <rFont val="等线"/>
        <charset val="134"/>
      </rPr>
      <t>TGCAG</t>
    </r>
    <r>
      <rPr>
        <sz val="9"/>
        <color rgb="FFFF0000"/>
        <rFont val="等线"/>
        <charset val="134"/>
      </rPr>
      <t>dT</t>
    </r>
    <r>
      <rPr>
        <sz val="9"/>
        <rFont val="等线"/>
        <charset val="134"/>
      </rPr>
      <t>CAGTCAGTC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</si>
</sst>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_);[Red]\(0\)"/>
  </numFmts>
  <fonts count="87">
    <font>
      <sz val="12"/>
      <name val="宋体"/>
      <charset val="134"/>
    </font>
    <font>
      <sz val="12"/>
      <name val="等线"/>
      <charset val="134"/>
    </font>
    <font>
      <b/>
      <sz val="9"/>
      <color rgb="FFFF0000"/>
      <name val="等线"/>
      <charset val="134"/>
    </font>
    <font>
      <b/>
      <sz val="9"/>
      <name val="等线"/>
      <charset val="134"/>
    </font>
    <font>
      <sz val="9"/>
      <name val="等线"/>
      <charset val="134"/>
    </font>
    <font>
      <b/>
      <sz val="10"/>
      <name val="等线"/>
      <charset val="134"/>
    </font>
    <font>
      <sz val="10"/>
      <color indexed="12"/>
      <name val="等线"/>
      <charset val="134"/>
    </font>
    <font>
      <b/>
      <sz val="10"/>
      <color rgb="FF0070C0"/>
      <name val="等线"/>
      <charset val="134"/>
    </font>
    <font>
      <sz val="11"/>
      <name val="等线"/>
      <charset val="134"/>
    </font>
    <font>
      <b/>
      <sz val="11"/>
      <color rgb="FFFFFFFF"/>
      <name val="等线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b/>
      <sz val="12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1"/>
      <color theme="5" tint="-0.249977111117893"/>
      <name val="宋体"/>
      <charset val="134"/>
      <scheme val="minor"/>
    </font>
    <font>
      <sz val="11"/>
      <color theme="5" tint="-0.249977111117893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16"/>
      <name val="等线"/>
      <charset val="134"/>
    </font>
    <font>
      <sz val="10"/>
      <color indexed="17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u/>
      <sz val="10"/>
      <color indexed="12"/>
      <name val="等线"/>
      <charset val="134"/>
    </font>
    <font>
      <u/>
      <sz val="10"/>
      <color indexed="12"/>
      <name val="Arial"/>
      <charset val="134"/>
    </font>
    <font>
      <sz val="10"/>
      <color rgb="FF0000FF"/>
      <name val="等线"/>
      <charset val="134"/>
    </font>
    <font>
      <sz val="10"/>
      <color indexed="56"/>
      <name val="等线"/>
      <charset val="134"/>
    </font>
    <font>
      <b/>
      <sz val="10"/>
      <name val="宋体"/>
      <charset val="134"/>
    </font>
    <font>
      <b/>
      <sz val="10"/>
      <color rgb="FF0070C0"/>
      <name val="宋体"/>
      <charset val="134"/>
    </font>
    <font>
      <sz val="7"/>
      <color rgb="FF444444"/>
      <name val="Arial"/>
      <charset val="134"/>
    </font>
    <font>
      <sz val="10"/>
      <name val="宋体"/>
      <charset val="134"/>
      <scheme val="minor"/>
    </font>
    <font>
      <sz val="9"/>
      <color theme="1"/>
      <name val="等线"/>
      <charset val="134"/>
    </font>
    <font>
      <sz val="9"/>
      <color indexed="8"/>
      <name val="等线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name val="新細明體"/>
      <charset val="134"/>
    </font>
    <font>
      <sz val="10"/>
      <color indexed="10"/>
      <name val="等线"/>
      <charset val="134"/>
    </font>
    <font>
      <sz val="12"/>
      <color rgb="FFFF0000"/>
      <name val="宋体"/>
      <charset val="134"/>
    </font>
    <font>
      <sz val="9"/>
      <color rgb="FFFF0000"/>
      <name val="等线"/>
      <charset val="134"/>
    </font>
    <font>
      <b/>
      <sz val="9"/>
      <name val="宋体"/>
      <charset val="134"/>
    </font>
    <font>
      <sz val="8"/>
      <name val="Tahoma"/>
      <charset val="134"/>
    </font>
  </fonts>
  <fills count="6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7">
    <xf numFmtId="0" fontId="0" fillId="0" borderId="0">
      <alignment vertical="top"/>
    </xf>
    <xf numFmtId="43" fontId="27" fillId="0" borderId="0" applyFont="0" applyFill="0" applyBorder="0" applyAlignment="0" applyProtection="0"/>
    <xf numFmtId="44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3" fillId="0" borderId="0">
      <alignment vertical="top"/>
      <protection locked="0"/>
    </xf>
    <xf numFmtId="42" fontId="4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center"/>
    </xf>
    <xf numFmtId="0" fontId="42" fillId="9" borderId="22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0" borderId="25" applyNumberFormat="0" applyAlignment="0" applyProtection="0">
      <alignment vertical="center"/>
    </xf>
    <xf numFmtId="0" fontId="52" fillId="11" borderId="26" applyNumberFormat="0" applyAlignment="0" applyProtection="0">
      <alignment vertical="center"/>
    </xf>
    <xf numFmtId="0" fontId="53" fillId="11" borderId="25" applyNumberFormat="0" applyAlignment="0" applyProtection="0">
      <alignment vertical="center"/>
    </xf>
    <xf numFmtId="0" fontId="54" fillId="12" borderId="27" applyNumberFormat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/>
    <xf numFmtId="0" fontId="62" fillId="41" borderId="0" applyNumberFormat="0" applyBorder="0" applyAlignment="0" applyProtection="0"/>
    <xf numFmtId="0" fontId="62" fillId="42" borderId="0" applyNumberFormat="0" applyBorder="0" applyAlignment="0" applyProtection="0"/>
    <xf numFmtId="0" fontId="62" fillId="43" borderId="0" applyNumberFormat="0" applyBorder="0" applyAlignment="0" applyProtection="0"/>
    <xf numFmtId="0" fontId="62" fillId="44" borderId="0" applyNumberFormat="0" applyBorder="0" applyAlignment="0" applyProtection="0"/>
    <xf numFmtId="0" fontId="62" fillId="45" borderId="0" applyNumberFormat="0" applyBorder="0" applyAlignment="0" applyProtection="0"/>
    <xf numFmtId="0" fontId="62" fillId="46" borderId="0" applyNumberFormat="0" applyBorder="0" applyAlignment="0" applyProtection="0"/>
    <xf numFmtId="0" fontId="62" fillId="47" borderId="0" applyNumberFormat="0" applyBorder="0" applyAlignment="0" applyProtection="0"/>
    <xf numFmtId="0" fontId="62" fillId="48" borderId="0" applyNumberFormat="0" applyBorder="0" applyAlignment="0" applyProtection="0"/>
    <xf numFmtId="0" fontId="62" fillId="43" borderId="0" applyNumberFormat="0" applyBorder="0" applyAlignment="0" applyProtection="0"/>
    <xf numFmtId="0" fontId="62" fillId="46" borderId="0" applyNumberFormat="0" applyBorder="0" applyAlignment="0" applyProtection="0"/>
    <xf numFmtId="0" fontId="62" fillId="49" borderId="0" applyNumberFormat="0" applyBorder="0" applyAlignment="0" applyProtection="0"/>
    <xf numFmtId="0" fontId="63" fillId="50" borderId="0" applyNumberFormat="0" applyBorder="0" applyAlignment="0" applyProtection="0"/>
    <xf numFmtId="0" fontId="63" fillId="47" borderId="0" applyNumberFormat="0" applyBorder="0" applyAlignment="0" applyProtection="0"/>
    <xf numFmtId="0" fontId="63" fillId="48" borderId="0" applyNumberFormat="0" applyBorder="0" applyAlignment="0" applyProtection="0"/>
    <xf numFmtId="0" fontId="63" fillId="51" borderId="0" applyNumberFormat="0" applyBorder="0" applyAlignment="0" applyProtection="0"/>
    <xf numFmtId="0" fontId="63" fillId="52" borderId="0" applyNumberFormat="0" applyBorder="0" applyAlignment="0" applyProtection="0"/>
    <xf numFmtId="0" fontId="63" fillId="53" borderId="0" applyNumberFormat="0" applyBorder="0" applyAlignment="0" applyProtection="0"/>
    <xf numFmtId="0" fontId="63" fillId="54" borderId="0" applyNumberFormat="0" applyBorder="0" applyAlignment="0" applyProtection="0"/>
    <xf numFmtId="0" fontId="63" fillId="55" borderId="0" applyNumberFormat="0" applyBorder="0" applyAlignment="0" applyProtection="0"/>
    <xf numFmtId="0" fontId="63" fillId="56" borderId="0" applyNumberFormat="0" applyBorder="0" applyAlignment="0" applyProtection="0"/>
    <xf numFmtId="0" fontId="63" fillId="51" borderId="0" applyNumberFormat="0" applyBorder="0" applyAlignment="0" applyProtection="0"/>
    <xf numFmtId="0" fontId="63" fillId="52" borderId="0" applyNumberFormat="0" applyBorder="0" applyAlignment="0" applyProtection="0"/>
    <xf numFmtId="0" fontId="63" fillId="57" borderId="0" applyNumberFormat="0" applyBorder="0" applyAlignment="0" applyProtection="0"/>
    <xf numFmtId="0" fontId="64" fillId="41" borderId="0" applyNumberFormat="0" applyBorder="0" applyAlignment="0" applyProtection="0"/>
    <xf numFmtId="0" fontId="65" fillId="58" borderId="30" applyNumberFormat="0" applyAlignment="0" applyProtection="0"/>
    <xf numFmtId="0" fontId="66" fillId="59" borderId="31" applyNumberFormat="0" applyAlignment="0" applyProtection="0"/>
    <xf numFmtId="0" fontId="67" fillId="0" borderId="0" applyNumberFormat="0" applyFill="0" applyBorder="0" applyAlignment="0" applyProtection="0"/>
    <xf numFmtId="0" fontId="68" fillId="42" borderId="0" applyNumberFormat="0" applyBorder="0" applyAlignment="0" applyProtection="0"/>
    <xf numFmtId="0" fontId="69" fillId="0" borderId="32" applyNumberFormat="0" applyFill="0" applyAlignment="0" applyProtection="0"/>
    <xf numFmtId="0" fontId="70" fillId="0" borderId="33" applyNumberFormat="0" applyFill="0" applyAlignment="0" applyProtection="0"/>
    <xf numFmtId="0" fontId="71" fillId="0" borderId="34" applyNumberFormat="0" applyFill="0" applyAlignment="0" applyProtection="0"/>
    <xf numFmtId="0" fontId="71" fillId="0" borderId="0" applyNumberFormat="0" applyFill="0" applyBorder="0" applyAlignment="0" applyProtection="0"/>
    <xf numFmtId="0" fontId="72" fillId="45" borderId="30" applyNumberFormat="0" applyAlignment="0" applyProtection="0"/>
    <xf numFmtId="0" fontId="73" fillId="0" borderId="35" applyNumberFormat="0" applyFill="0" applyAlignment="0" applyProtection="0"/>
    <xf numFmtId="0" fontId="74" fillId="60" borderId="0" applyNumberFormat="0" applyBorder="0" applyAlignment="0" applyProtection="0"/>
    <xf numFmtId="0" fontId="27" fillId="61" borderId="36" applyNumberFormat="0" applyFont="0" applyAlignment="0" applyProtection="0"/>
    <xf numFmtId="0" fontId="75" fillId="58" borderId="37" applyNumberFormat="0" applyAlignment="0" applyProtection="0"/>
    <xf numFmtId="0" fontId="76" fillId="0" borderId="0" applyNumberFormat="0" applyFill="0" applyBorder="0" applyAlignment="0" applyProtection="0"/>
    <xf numFmtId="0" fontId="77" fillId="0" borderId="38" applyNumberFormat="0" applyFill="0" applyAlignment="0" applyProtection="0"/>
    <xf numFmtId="0" fontId="78" fillId="0" borderId="0" applyNumberFormat="0" applyFill="0" applyBorder="0" applyAlignment="0" applyProtection="0"/>
    <xf numFmtId="0" fontId="27" fillId="0" borderId="0">
      <alignment vertical="top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79" fillId="0" borderId="0">
      <alignment vertical="center"/>
    </xf>
    <xf numFmtId="0" fontId="79" fillId="0" borderId="0">
      <alignment vertical="center"/>
    </xf>
    <xf numFmtId="0" fontId="8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81" fillId="0" borderId="0">
      <alignment vertical="center"/>
    </xf>
  </cellStyleXfs>
  <cellXfs count="18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49" fontId="6" fillId="4" borderId="3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vertical="center"/>
    </xf>
    <xf numFmtId="49" fontId="6" fillId="5" borderId="3" xfId="0" applyNumberFormat="1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4" fontId="8" fillId="3" borderId="1" xfId="0" applyNumberFormat="1" applyFont="1" applyFill="1" applyBorder="1" applyAlignment="1" applyProtection="1">
      <alignment horizontal="left" vertical="center"/>
      <protection locked="0"/>
    </xf>
    <xf numFmtId="0" fontId="4" fillId="0" borderId="4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2" borderId="1" xfId="100" applyFont="1" applyFill="1" applyBorder="1" applyAlignment="1" applyProtection="1">
      <alignment horizontal="left" vertical="center"/>
      <protection hidden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2" borderId="0" xfId="100" applyFont="1" applyFill="1" applyAlignment="1" applyProtection="1">
      <alignment horizontal="center" vertical="center"/>
      <protection hidden="1"/>
    </xf>
    <xf numFmtId="0" fontId="9" fillId="7" borderId="1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/>
    <xf numFmtId="0" fontId="12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2" fillId="0" borderId="6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4" fillId="0" borderId="0" xfId="0" applyFont="1" applyAlignment="1"/>
    <xf numFmtId="0" fontId="15" fillId="0" borderId="0" xfId="0" applyFont="1" applyAlignment="1">
      <alignment vertical="center"/>
    </xf>
    <xf numFmtId="0" fontId="16" fillId="0" borderId="1" xfId="0" applyFont="1" applyBorder="1" applyAlignment="1"/>
    <xf numFmtId="0" fontId="17" fillId="8" borderId="1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4" fillId="0" borderId="1" xfId="92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/>
    <xf numFmtId="0" fontId="15" fillId="0" borderId="1" xfId="0" applyFont="1" applyBorder="1" applyAlignment="1"/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1" xfId="0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21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76" fontId="0" fillId="0" borderId="0" xfId="1" applyNumberFormat="1" applyFont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wrapText="1"/>
    </xf>
    <xf numFmtId="176" fontId="23" fillId="0" borderId="1" xfId="1" applyNumberFormat="1" applyFont="1" applyBorder="1" applyAlignment="1">
      <alignment horizontal="center" wrapText="1"/>
    </xf>
    <xf numFmtId="0" fontId="1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6" fontId="25" fillId="0" borderId="1" xfId="1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 wrapText="1"/>
    </xf>
    <xf numFmtId="176" fontId="27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176" fontId="0" fillId="0" borderId="0" xfId="1" applyNumberFormat="1" applyFont="1" applyAlignment="1"/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14" fontId="1" fillId="3" borderId="15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2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14" fontId="30" fillId="3" borderId="17" xfId="0" applyNumberFormat="1" applyFont="1" applyFill="1" applyBorder="1" applyAlignment="1" applyProtection="1">
      <alignment horizontal="left" vertical="center" wrapText="1"/>
      <protection locked="0"/>
    </xf>
    <xf numFmtId="14" fontId="30" fillId="3" borderId="18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14" fontId="30" fillId="3" borderId="8" xfId="0" applyNumberFormat="1" applyFont="1" applyFill="1" applyBorder="1" applyAlignment="1" applyProtection="1">
      <alignment horizontal="left" vertical="center"/>
      <protection locked="0"/>
    </xf>
    <xf numFmtId="14" fontId="30" fillId="3" borderId="13" xfId="0" applyNumberFormat="1" applyFont="1" applyFill="1" applyBorder="1" applyAlignment="1" applyProtection="1">
      <alignment horizontal="left" vertical="center"/>
      <protection locked="0"/>
    </xf>
    <xf numFmtId="14" fontId="30" fillId="3" borderId="19" xfId="0" applyNumberFormat="1" applyFont="1" applyFill="1" applyBorder="1" applyAlignment="1" applyProtection="1">
      <alignment horizontal="left" vertical="center"/>
      <protection locked="0"/>
    </xf>
    <xf numFmtId="14" fontId="30" fillId="3" borderId="20" xfId="0" applyNumberFormat="1" applyFont="1" applyFill="1" applyBorder="1" applyAlignment="1" applyProtection="1">
      <alignment horizontal="left" vertical="center"/>
      <protection locked="0"/>
    </xf>
    <xf numFmtId="0" fontId="29" fillId="0" borderId="14" xfId="4" applyFont="1" applyBorder="1" applyAlignment="1" applyProtection="1">
      <alignment horizontal="left" vertical="center"/>
    </xf>
    <xf numFmtId="0" fontId="29" fillId="0" borderId="4" xfId="4" applyFont="1" applyBorder="1" applyAlignment="1" applyProtection="1">
      <alignment horizontal="left" vertical="center"/>
    </xf>
    <xf numFmtId="0" fontId="29" fillId="0" borderId="21" xfId="4" applyFont="1" applyBorder="1" applyAlignment="1" applyProtection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177" fontId="30" fillId="3" borderId="8" xfId="0" applyNumberFormat="1" applyFont="1" applyFill="1" applyBorder="1" applyAlignment="1" applyProtection="1">
      <alignment horizontal="left" vertical="center"/>
      <protection locked="0"/>
    </xf>
    <xf numFmtId="0" fontId="31" fillId="3" borderId="13" xfId="0" applyFont="1" applyFill="1" applyBorder="1" applyAlignment="1">
      <alignment horizontal="left" vertical="top" wrapText="1"/>
    </xf>
    <xf numFmtId="0" fontId="31" fillId="3" borderId="0" xfId="0" applyFont="1" applyFill="1" applyAlignment="1">
      <alignment horizontal="left" vertical="top" wrapText="1"/>
    </xf>
    <xf numFmtId="0" fontId="31" fillId="3" borderId="11" xfId="0" applyFont="1" applyFill="1" applyBorder="1" applyAlignment="1">
      <alignment horizontal="left" vertical="top" wrapText="1"/>
    </xf>
    <xf numFmtId="49" fontId="32" fillId="3" borderId="3" xfId="6" applyNumberFormat="1" applyFont="1" applyFill="1" applyBorder="1" applyAlignment="1" applyProtection="1">
      <alignment horizontal="left" vertical="center"/>
      <protection locked="0"/>
    </xf>
    <xf numFmtId="49" fontId="33" fillId="3" borderId="3" xfId="6" applyNumberFormat="1" applyFill="1" applyBorder="1" applyAlignment="1" applyProtection="1">
      <alignment horizontal="left" vertical="center"/>
      <protection locked="0"/>
    </xf>
    <xf numFmtId="49" fontId="6" fillId="3" borderId="3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 applyProtection="1">
      <alignment horizontal="left" vertical="center"/>
      <protection locked="0"/>
    </xf>
    <xf numFmtId="14" fontId="34" fillId="3" borderId="1" xfId="6" applyNumberFormat="1" applyFont="1" applyFill="1" applyBorder="1" applyAlignment="1" applyProtection="1">
      <alignment horizontal="center" vertical="center"/>
      <protection locked="0"/>
    </xf>
    <xf numFmtId="49" fontId="34" fillId="3" borderId="1" xfId="6" applyNumberFormat="1" applyFont="1" applyFill="1" applyBorder="1" applyAlignment="1" applyProtection="1">
      <alignment horizontal="left" vertical="center"/>
      <protection locked="0"/>
    </xf>
    <xf numFmtId="14" fontId="34" fillId="3" borderId="1" xfId="6" applyNumberFormat="1" applyFont="1" applyFill="1" applyBorder="1" applyAlignment="1" applyProtection="1">
      <alignment horizontal="left" vertical="center"/>
      <protection locked="0"/>
    </xf>
    <xf numFmtId="49" fontId="32" fillId="3" borderId="1" xfId="6" applyNumberFormat="1" applyFont="1" applyFill="1" applyBorder="1" applyAlignment="1" applyProtection="1">
      <alignment horizontal="left" vertical="center"/>
      <protection locked="0"/>
    </xf>
    <xf numFmtId="0" fontId="31" fillId="3" borderId="14" xfId="0" applyFont="1" applyFill="1" applyBorder="1" applyAlignment="1">
      <alignment horizontal="left" vertical="top" wrapText="1"/>
    </xf>
    <xf numFmtId="0" fontId="31" fillId="3" borderId="4" xfId="0" applyFont="1" applyFill="1" applyBorder="1" applyAlignment="1">
      <alignment horizontal="left" vertical="top" wrapText="1"/>
    </xf>
    <xf numFmtId="0" fontId="31" fillId="3" borderId="21" xfId="0" applyFont="1" applyFill="1" applyBorder="1" applyAlignment="1">
      <alignment horizontal="left" vertical="top" wrapText="1"/>
    </xf>
    <xf numFmtId="14" fontId="34" fillId="3" borderId="3" xfId="6" applyNumberFormat="1" applyFont="1" applyFill="1" applyBorder="1" applyAlignment="1" applyProtection="1">
      <alignment horizontal="center" vertical="center"/>
      <protection locked="0"/>
    </xf>
    <xf numFmtId="49" fontId="34" fillId="3" borderId="1" xfId="6" applyNumberFormat="1" applyFont="1" applyFill="1" applyBorder="1" applyAlignment="1" applyProtection="1">
      <alignment horizontal="center" vertical="center"/>
      <protection locked="0"/>
    </xf>
    <xf numFmtId="49" fontId="32" fillId="3" borderId="1" xfId="6" applyNumberFormat="1" applyFont="1" applyFill="1" applyBorder="1" applyAlignment="1" applyProtection="1">
      <alignment horizontal="center" vertical="center"/>
      <protection locked="0"/>
    </xf>
    <xf numFmtId="0" fontId="35" fillId="0" borderId="13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11" xfId="0" applyFont="1" applyBorder="1" applyAlignment="1">
      <alignment horizontal="left" vertical="center" wrapText="1"/>
    </xf>
    <xf numFmtId="49" fontId="34" fillId="3" borderId="7" xfId="6" applyNumberFormat="1" applyFont="1" applyFill="1" applyBorder="1" applyAlignment="1" applyProtection="1">
      <alignment horizontal="center" vertical="center"/>
      <protection locked="0"/>
    </xf>
    <xf numFmtId="49" fontId="32" fillId="3" borderId="7" xfId="6" applyNumberFormat="1" applyFont="1" applyFill="1" applyBorder="1" applyAlignment="1" applyProtection="1">
      <alignment horizontal="center" vertical="center"/>
      <protection locked="0"/>
    </xf>
    <xf numFmtId="0" fontId="35" fillId="0" borderId="21" xfId="0" applyFont="1" applyBorder="1" applyAlignment="1">
      <alignment horizontal="left" vertical="center" wrapText="1"/>
    </xf>
    <xf numFmtId="0" fontId="36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9" fillId="0" borderId="1" xfId="0" applyFont="1" applyBorder="1" applyAlignment="1" applyProtection="1">
      <protection locked="0"/>
    </xf>
    <xf numFmtId="0" fontId="1" fillId="0" borderId="0" xfId="0" applyFont="1" applyAlignment="1">
      <alignment horizontal="center" vertical="center"/>
    </xf>
    <xf numFmtId="49" fontId="7" fillId="3" borderId="2" xfId="0" applyNumberFormat="1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14" fontId="34" fillId="3" borderId="3" xfId="6" applyNumberFormat="1" applyFont="1" applyFill="1" applyBorder="1" applyAlignment="1" applyProtection="1">
      <alignment horizontal="left" vertical="center"/>
      <protection locked="0"/>
    </xf>
    <xf numFmtId="0" fontId="35" fillId="0" borderId="14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10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left" vertical="center"/>
      <protection locked="0"/>
    </xf>
    <xf numFmtId="0" fontId="40" fillId="0" borderId="1" xfId="96" applyFont="1" applyBorder="1" applyAlignment="1">
      <alignment horizontal="left"/>
    </xf>
    <xf numFmtId="14" fontId="4" fillId="3" borderId="9" xfId="0" applyNumberFormat="1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>
      <alignment horizontal="justify" vertical="center"/>
    </xf>
    <xf numFmtId="0" fontId="41" fillId="0" borderId="1" xfId="0" applyFont="1" applyBorder="1" applyAlignment="1">
      <alignment horizontal="left" vertical="center"/>
    </xf>
    <xf numFmtId="0" fontId="15" fillId="0" borderId="1" xfId="0" applyFont="1" applyBorder="1" applyAlignment="1" quotePrefix="1">
      <alignment horizontal="center"/>
    </xf>
    <xf numFmtId="0" fontId="15" fillId="0" borderId="1" xfId="0" applyFont="1" applyBorder="1" applyAlignment="1" quotePrefix="1"/>
  </cellXfs>
  <cellStyles count="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2" xfId="50"/>
    <cellStyle name="20% - Accent3" xfId="51"/>
    <cellStyle name="20% - Accent4" xfId="52"/>
    <cellStyle name="20% - Accent5" xfId="53"/>
    <cellStyle name="20% - Accent6" xfId="54"/>
    <cellStyle name="40% - Accent1" xfId="55"/>
    <cellStyle name="40% - Accent2" xfId="56"/>
    <cellStyle name="40% - Accent3" xfId="57"/>
    <cellStyle name="40% - Accent4" xfId="58"/>
    <cellStyle name="40% - Accent5" xfId="59"/>
    <cellStyle name="40% - Accent6" xfId="60"/>
    <cellStyle name="60% - Accent1" xfId="61"/>
    <cellStyle name="60% - Accent2" xfId="62"/>
    <cellStyle name="6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4" xfId="70"/>
    <cellStyle name="Accent5" xfId="71"/>
    <cellStyle name="Accent6" xfId="72"/>
    <cellStyle name="Bad" xfId="73"/>
    <cellStyle name="Calculation" xfId="74"/>
    <cellStyle name="Check Cell" xfId="75"/>
    <cellStyle name="Explanatory Text" xfId="76"/>
    <cellStyle name="Good" xfId="77"/>
    <cellStyle name="Heading 1" xfId="78"/>
    <cellStyle name="Heading 2" xfId="79"/>
    <cellStyle name="Heading 3" xfId="80"/>
    <cellStyle name="Heading 4" xfId="81"/>
    <cellStyle name="Input" xfId="82"/>
    <cellStyle name="Linked Cell" xfId="83"/>
    <cellStyle name="Neutral" xfId="84"/>
    <cellStyle name="Note" xfId="85"/>
    <cellStyle name="Output" xfId="86"/>
    <cellStyle name="Title" xfId="87"/>
    <cellStyle name="Total" xfId="88"/>
    <cellStyle name="Warning Text" xfId="89"/>
    <cellStyle name="常规 10" xfId="90"/>
    <cellStyle name="常规 11" xfId="91"/>
    <cellStyle name="常规 2" xfId="92"/>
    <cellStyle name="常规 2 16" xfId="93"/>
    <cellStyle name="常规 3" xfId="94"/>
    <cellStyle name="常规 3 2" xfId="95"/>
    <cellStyle name="常规 4" xfId="96"/>
    <cellStyle name="常规 5" xfId="97"/>
    <cellStyle name="常规 6" xfId="98"/>
    <cellStyle name="常规 7" xfId="99"/>
    <cellStyle name="常规 8" xfId="100"/>
    <cellStyle name="常规 9" xfId="101"/>
    <cellStyle name="超链接 2" xfId="102"/>
    <cellStyle name="超链接 3" xfId="103"/>
    <cellStyle name="千位分隔[0] 2" xfId="104"/>
    <cellStyle name="千位分隔[0] 3" xfId="105"/>
    <cellStyle name="一般 2" xfId="106"/>
  </cellStyles>
  <dxfs count="2"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35170</xdr:colOff>
      <xdr:row>0</xdr:row>
      <xdr:rowOff>0</xdr:rowOff>
    </xdr:from>
    <xdr:to>
      <xdr:col>0</xdr:col>
      <xdr:colOff>978878</xdr:colOff>
      <xdr:row>2</xdr:row>
      <xdr:rowOff>156758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" y="0"/>
          <a:ext cx="943610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35170</xdr:colOff>
      <xdr:row>0</xdr:row>
      <xdr:rowOff>0</xdr:rowOff>
    </xdr:from>
    <xdr:to>
      <xdr:col>0</xdr:col>
      <xdr:colOff>978878</xdr:colOff>
      <xdr:row>2</xdr:row>
      <xdr:rowOff>111038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" y="0"/>
          <a:ext cx="943610" cy="49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bioligo.cn/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ioligo.cn/" TargetMode="Externa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0"/>
  <sheetViews>
    <sheetView showZeros="0" tabSelected="1" zoomScale="80" zoomScaleNormal="80" workbookViewId="0">
      <pane xSplit="1" ySplit="7" topLeftCell="B8" activePane="bottomRight" state="frozenSplit"/>
      <selection/>
      <selection pane="topRight"/>
      <selection pane="bottomLeft"/>
      <selection pane="bottomRight" activeCell="B4" sqref="B4:F4"/>
    </sheetView>
  </sheetViews>
  <sheetFormatPr defaultColWidth="9" defaultRowHeight="15.5"/>
  <cols>
    <col min="1" max="1" width="13" style="2" customWidth="1"/>
    <col min="2" max="2" width="13.4" style="2" customWidth="1"/>
    <col min="3" max="3" width="20.7" style="2" customWidth="1"/>
    <col min="4" max="4" width="25.1" style="2" customWidth="1"/>
    <col min="5" max="5" width="9.1" style="2" customWidth="1"/>
    <col min="6" max="6" width="9.5" style="2" customWidth="1"/>
    <col min="7" max="7" width="10.5" style="2" customWidth="1"/>
    <col min="8" max="8" width="16.2" style="2" customWidth="1"/>
    <col min="9" max="10" width="16.4" style="2" customWidth="1"/>
    <col min="11" max="11" width="10.7" style="2" customWidth="1"/>
    <col min="12" max="12" width="8.9" style="163" customWidth="1"/>
    <col min="13" max="15" width="10.5" style="163" customWidth="1"/>
    <col min="16" max="16" width="11.5" style="163" customWidth="1"/>
    <col min="17" max="17" width="11.1" style="163" customWidth="1"/>
    <col min="18" max="18" width="10.9" style="2" customWidth="1"/>
    <col min="19" max="251" width="8.9" style="2" customWidth="1"/>
    <col min="252" max="16384" width="9" style="2"/>
  </cols>
  <sheetData>
    <row r="1" ht="14.25" customHeight="1" spans="1:18">
      <c r="A1" s="10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ht="14.25" customHeight="1" spans="1:18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ht="14.25" customHeight="1" spans="1:18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ht="15" customHeight="1" spans="1:18">
      <c r="A4" s="164" t="s">
        <v>1</v>
      </c>
      <c r="B4" s="108"/>
      <c r="C4" s="108"/>
      <c r="D4" s="108"/>
      <c r="E4" s="108"/>
      <c r="F4" s="108"/>
      <c r="G4" s="109" t="s">
        <v>2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1"/>
    </row>
    <row r="5" ht="15" customHeight="1" spans="1:18">
      <c r="A5" s="165" t="s">
        <v>3</v>
      </c>
      <c r="B5" s="113"/>
      <c r="C5" s="113"/>
      <c r="D5" s="113"/>
      <c r="E5" s="114"/>
      <c r="F5" s="114"/>
      <c r="G5" s="115" t="s">
        <v>4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7"/>
    </row>
    <row r="6" ht="15" customHeight="1" spans="1:18">
      <c r="A6" s="165" t="s">
        <v>5</v>
      </c>
      <c r="B6" s="118"/>
      <c r="C6" s="118"/>
      <c r="D6" s="118"/>
      <c r="E6" s="119"/>
      <c r="F6" s="119"/>
      <c r="G6" s="115" t="s">
        <v>6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7"/>
    </row>
    <row r="7" ht="15" customHeight="1" spans="1:18">
      <c r="A7" s="165" t="s">
        <v>7</v>
      </c>
      <c r="B7" s="120"/>
      <c r="C7" s="120"/>
      <c r="D7" s="120"/>
      <c r="E7" s="121"/>
      <c r="F7" s="121"/>
      <c r="G7" s="122" t="s">
        <v>8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4"/>
    </row>
    <row r="8" ht="15" customHeight="1" spans="1:18">
      <c r="A8" s="9" t="s">
        <v>9</v>
      </c>
      <c r="B8" s="10" t="s">
        <v>10</v>
      </c>
      <c r="C8" s="10"/>
      <c r="D8" s="10"/>
      <c r="E8" s="10"/>
      <c r="F8" s="10"/>
      <c r="G8" s="126" t="s">
        <v>11</v>
      </c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8"/>
    </row>
    <row r="9" ht="15" customHeight="1" spans="1:18">
      <c r="A9" s="165" t="s">
        <v>12</v>
      </c>
      <c r="B9" s="129"/>
      <c r="C9" s="129"/>
      <c r="D9" s="129"/>
      <c r="E9" s="129"/>
      <c r="F9" s="129"/>
      <c r="G9" s="130" t="s">
        <v>13</v>
      </c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2"/>
    </row>
    <row r="10" ht="15" customHeight="1" spans="1:18">
      <c r="A10" s="165" t="s">
        <v>14</v>
      </c>
      <c r="B10" s="133"/>
      <c r="C10" s="133"/>
      <c r="D10" s="133"/>
      <c r="E10" s="133"/>
      <c r="F10" s="133"/>
      <c r="G10" s="130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2"/>
    </row>
    <row r="11" spans="1:18">
      <c r="A11" s="165" t="s">
        <v>15</v>
      </c>
      <c r="B11" s="135"/>
      <c r="C11" s="135"/>
      <c r="D11" s="135"/>
      <c r="E11" s="135"/>
      <c r="F11" s="135"/>
      <c r="G11" s="130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2"/>
    </row>
    <row r="12" ht="15" customHeight="1" spans="1:18">
      <c r="A12" s="11" t="s">
        <v>16</v>
      </c>
      <c r="B12" s="12"/>
      <c r="C12" s="12"/>
      <c r="D12" s="12"/>
      <c r="E12" s="12"/>
      <c r="F12" s="12"/>
      <c r="G12" s="130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2"/>
    </row>
    <row r="13" spans="1:18">
      <c r="A13" s="166" t="s">
        <v>17</v>
      </c>
      <c r="B13" s="10"/>
      <c r="C13" s="10"/>
      <c r="D13" s="10"/>
      <c r="E13" s="10"/>
      <c r="F13" s="10"/>
      <c r="G13" s="130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2"/>
    </row>
    <row r="14" ht="15" customHeight="1" spans="1:18">
      <c r="A14" s="167" t="s">
        <v>18</v>
      </c>
      <c r="B14" s="138"/>
      <c r="C14" s="138"/>
      <c r="D14" s="138"/>
      <c r="E14" s="138"/>
      <c r="F14" s="138"/>
      <c r="G14" s="130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2"/>
    </row>
    <row r="15" ht="15" customHeight="1" spans="1:18">
      <c r="A15" s="141" t="s">
        <v>19</v>
      </c>
      <c r="B15" s="140"/>
      <c r="C15" s="141" t="s">
        <v>20</v>
      </c>
      <c r="D15" s="140"/>
      <c r="E15" s="140"/>
      <c r="F15" s="142"/>
      <c r="G15" s="130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2"/>
    </row>
    <row r="16" ht="15" customHeight="1" spans="1:18">
      <c r="A16" s="141" t="s">
        <v>21</v>
      </c>
      <c r="B16" s="140"/>
      <c r="C16" s="142"/>
      <c r="D16" s="142"/>
      <c r="E16" s="142"/>
      <c r="F16" s="142"/>
      <c r="G16" s="143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5"/>
    </row>
    <row r="17" ht="15" customHeight="1" spans="1:18">
      <c r="A17" s="168" t="s">
        <v>22</v>
      </c>
      <c r="B17" s="147"/>
      <c r="C17" s="148"/>
      <c r="D17" s="148"/>
      <c r="E17" s="148"/>
      <c r="F17" s="148"/>
      <c r="G17" s="149" t="s">
        <v>23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1"/>
    </row>
    <row r="18" ht="15" customHeight="1" spans="1:18">
      <c r="A18" s="168" t="s">
        <v>24</v>
      </c>
      <c r="B18" s="147"/>
      <c r="C18" s="148"/>
      <c r="D18" s="148"/>
      <c r="E18" s="148"/>
      <c r="F18" s="148"/>
      <c r="G18" s="169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54"/>
    </row>
    <row r="19" s="22" customFormat="1" ht="19.95" customHeight="1" spans="1:18">
      <c r="A19" s="4" t="s">
        <v>25</v>
      </c>
      <c r="B19" s="13" t="s">
        <v>26</v>
      </c>
      <c r="C19" s="13" t="s">
        <v>27</v>
      </c>
      <c r="D19" s="14" t="s">
        <v>28</v>
      </c>
      <c r="E19" s="13" t="s">
        <v>29</v>
      </c>
      <c r="F19" s="13" t="s">
        <v>30</v>
      </c>
      <c r="G19" s="13" t="s">
        <v>31</v>
      </c>
      <c r="H19" s="14" t="s">
        <v>32</v>
      </c>
      <c r="I19" s="14" t="s">
        <v>33</v>
      </c>
      <c r="J19" s="13" t="s">
        <v>34</v>
      </c>
      <c r="K19" s="13" t="s">
        <v>35</v>
      </c>
      <c r="L19" s="13" t="s">
        <v>36</v>
      </c>
      <c r="M19" s="15" t="s">
        <v>37</v>
      </c>
      <c r="N19" s="15" t="s">
        <v>38</v>
      </c>
      <c r="O19" s="15" t="s">
        <v>39</v>
      </c>
      <c r="P19" s="15" t="s">
        <v>40</v>
      </c>
      <c r="Q19" s="13" t="s">
        <v>41</v>
      </c>
      <c r="R19" s="16" t="s">
        <v>42</v>
      </c>
    </row>
    <row r="20" spans="1:18">
      <c r="A20" s="171"/>
      <c r="B20" s="6"/>
      <c r="C20" s="172"/>
      <c r="D20" s="172"/>
      <c r="E20" s="18"/>
      <c r="F20" s="173"/>
      <c r="G20" s="173"/>
      <c r="H20" s="173"/>
      <c r="I20" s="173"/>
      <c r="J20" s="174"/>
      <c r="K20" s="25"/>
      <c r="L20" s="173"/>
      <c r="M20" s="13"/>
      <c r="N20" s="13"/>
      <c r="O20" s="13"/>
      <c r="P20" s="13"/>
      <c r="Q20" s="173"/>
      <c r="R20" s="175">
        <f t="array" ref="R20">LEN(C20)-SUM((LEN(C20)-LEN(SUBSTITUTE(C20,修饰列表!$B$2:$B$79,修饰列表!$D$2:$D$79))))</f>
        <v>0</v>
      </c>
    </row>
    <row r="21" spans="1:18">
      <c r="A21" s="176"/>
      <c r="B21" s="6"/>
      <c r="C21" s="172"/>
      <c r="D21" s="172"/>
      <c r="E21" s="18"/>
      <c r="F21" s="173"/>
      <c r="G21" s="173"/>
      <c r="H21" s="173"/>
      <c r="I21" s="173"/>
      <c r="J21" s="173"/>
      <c r="K21" s="177"/>
      <c r="L21" s="173"/>
      <c r="M21" s="13"/>
      <c r="N21" s="13"/>
      <c r="O21" s="13"/>
      <c r="P21" s="13"/>
      <c r="Q21" s="173"/>
      <c r="R21" s="175">
        <f t="array" ref="R21">LEN(C21)-SUM((LEN(C21)-LEN(SUBSTITUTE(C21,修饰列表!$B$2:$B$79,修饰列表!$D$2:$D$79))))</f>
        <v>0</v>
      </c>
    </row>
    <row r="22" spans="1:18">
      <c r="A22" s="171"/>
      <c r="B22" s="6"/>
      <c r="C22" s="172"/>
      <c r="D22" s="172"/>
      <c r="E22" s="18"/>
      <c r="F22" s="173"/>
      <c r="G22" s="173"/>
      <c r="H22" s="173"/>
      <c r="I22" s="173"/>
      <c r="J22" s="173"/>
      <c r="K22" s="177"/>
      <c r="L22" s="173"/>
      <c r="M22" s="13"/>
      <c r="N22" s="13"/>
      <c r="O22" s="13"/>
      <c r="P22" s="13"/>
      <c r="Q22" s="173"/>
      <c r="R22" s="175">
        <f t="array" ref="R22">LEN(C22)-SUM((LEN(C22)-LEN(SUBSTITUTE(C22,修饰列表!$B$2:$B$79,修饰列表!$D$2:$D$79))))</f>
        <v>0</v>
      </c>
    </row>
    <row r="23" spans="1:18">
      <c r="A23" s="171"/>
      <c r="B23" s="178"/>
      <c r="C23" s="179"/>
      <c r="D23" s="179"/>
      <c r="E23" s="18"/>
      <c r="F23" s="173"/>
      <c r="G23" s="173"/>
      <c r="H23" s="173"/>
      <c r="I23" s="173"/>
      <c r="J23" s="173"/>
      <c r="K23" s="177"/>
      <c r="L23" s="173"/>
      <c r="M23" s="13"/>
      <c r="N23" s="13"/>
      <c r="O23" s="13"/>
      <c r="P23" s="13"/>
      <c r="Q23" s="173"/>
      <c r="R23" s="175">
        <f t="array" ref="R23">LEN(C23)-SUM((LEN(C23)-LEN(SUBSTITUTE(C23,修饰列表!$B$2:$B$79,修饰列表!$D$2:$D$79))))</f>
        <v>0</v>
      </c>
    </row>
    <row r="24" spans="1:18">
      <c r="A24" s="171"/>
      <c r="B24" s="178"/>
      <c r="C24" s="178"/>
      <c r="D24" s="178"/>
      <c r="E24" s="18"/>
      <c r="F24" s="173"/>
      <c r="G24" s="173"/>
      <c r="H24" s="173"/>
      <c r="I24" s="173"/>
      <c r="J24" s="173"/>
      <c r="K24" s="173"/>
      <c r="L24" s="173"/>
      <c r="M24" s="13"/>
      <c r="N24" s="13"/>
      <c r="O24" s="13"/>
      <c r="P24" s="13"/>
      <c r="Q24" s="173"/>
      <c r="R24" s="175">
        <f t="array" ref="R24">LEN(C24)-SUM((LEN(C24)-LEN(SUBSTITUTE(C24,修饰列表!$B$2:$B$79,修饰列表!$D$2:$D$79))))</f>
        <v>0</v>
      </c>
    </row>
    <row r="25" spans="1:18">
      <c r="A25" s="171"/>
      <c r="B25" s="178"/>
      <c r="C25" s="180"/>
      <c r="D25" s="180"/>
      <c r="E25" s="18"/>
      <c r="F25" s="173"/>
      <c r="G25" s="173"/>
      <c r="H25" s="173"/>
      <c r="I25" s="173"/>
      <c r="J25" s="173"/>
      <c r="K25" s="173"/>
      <c r="L25" s="173"/>
      <c r="M25" s="13"/>
      <c r="N25" s="13"/>
      <c r="O25" s="13"/>
      <c r="P25" s="13"/>
      <c r="Q25" s="173"/>
      <c r="R25" s="175">
        <f t="array" ref="R25">LEN(C25)-SUM((LEN(C25)-LEN(SUBSTITUTE(C25,修饰列表!$B$2:$B$79,修饰列表!$D$2:$D$79))))</f>
        <v>0</v>
      </c>
    </row>
    <row r="26" spans="1:18">
      <c r="A26" s="171"/>
      <c r="B26" s="178"/>
      <c r="C26" s="178"/>
      <c r="D26" s="178"/>
      <c r="E26" s="18"/>
      <c r="F26" s="173"/>
      <c r="G26" s="173"/>
      <c r="H26" s="173"/>
      <c r="I26" s="173"/>
      <c r="J26" s="173"/>
      <c r="K26" s="173"/>
      <c r="L26" s="173"/>
      <c r="M26" s="13"/>
      <c r="N26" s="13"/>
      <c r="O26" s="13"/>
      <c r="P26" s="13"/>
      <c r="Q26" s="173"/>
      <c r="R26" s="175">
        <f t="array" ref="R26">LEN(C26)-SUM((LEN(C26)-LEN(SUBSTITUTE(C26,修饰列表!$B$2:$B$79,修饰列表!$D$2:$D$79))))</f>
        <v>0</v>
      </c>
    </row>
    <row r="27" spans="1:18">
      <c r="A27" s="171"/>
      <c r="B27" s="178"/>
      <c r="C27" s="178"/>
      <c r="D27" s="178"/>
      <c r="E27" s="18"/>
      <c r="F27" s="173"/>
      <c r="G27" s="173"/>
      <c r="H27" s="173"/>
      <c r="I27" s="173"/>
      <c r="J27" s="173"/>
      <c r="K27" s="173"/>
      <c r="L27" s="173"/>
      <c r="M27" s="13"/>
      <c r="N27" s="13"/>
      <c r="O27" s="13"/>
      <c r="P27" s="13"/>
      <c r="Q27" s="173"/>
      <c r="R27" s="175">
        <f t="array" ref="R27">LEN(C27)-SUM((LEN(C27)-LEN(SUBSTITUTE(C27,修饰列表!$B$2:$B$79,修饰列表!$D$2:$D$79))))</f>
        <v>0</v>
      </c>
    </row>
    <row r="28" spans="1:18">
      <c r="A28" s="171"/>
      <c r="B28" s="178"/>
      <c r="C28" s="178"/>
      <c r="D28" s="178"/>
      <c r="E28" s="18"/>
      <c r="F28" s="173"/>
      <c r="G28" s="173"/>
      <c r="H28" s="173"/>
      <c r="I28" s="173"/>
      <c r="J28" s="173"/>
      <c r="K28" s="173"/>
      <c r="L28" s="173"/>
      <c r="M28" s="13"/>
      <c r="N28" s="13"/>
      <c r="O28" s="13"/>
      <c r="P28" s="13"/>
      <c r="Q28" s="173"/>
      <c r="R28" s="175">
        <f t="array" ref="R28">LEN(C28)-SUM((LEN(C28)-LEN(SUBSTITUTE(C28,修饰列表!$B$2:$B$79,修饰列表!$D$2:$D$79))))</f>
        <v>0</v>
      </c>
    </row>
    <row r="29" spans="1:18">
      <c r="A29" s="171"/>
      <c r="B29" s="178"/>
      <c r="C29" s="178"/>
      <c r="D29" s="178"/>
      <c r="E29" s="18"/>
      <c r="F29" s="173"/>
      <c r="G29" s="173"/>
      <c r="H29" s="173"/>
      <c r="I29" s="173"/>
      <c r="J29" s="173"/>
      <c r="K29" s="173"/>
      <c r="L29" s="173"/>
      <c r="M29" s="13"/>
      <c r="N29" s="13"/>
      <c r="O29" s="13"/>
      <c r="P29" s="13"/>
      <c r="Q29" s="173"/>
      <c r="R29" s="175">
        <f t="array" ref="R29">LEN(C29)-SUM((LEN(C29)-LEN(SUBSTITUTE(C29,修饰列表!$B$2:$B$79,修饰列表!$D$2:$D$79))))</f>
        <v>0</v>
      </c>
    </row>
    <row r="30" spans="1:18">
      <c r="A30" s="171"/>
      <c r="B30" s="178"/>
      <c r="C30" s="178"/>
      <c r="D30" s="178"/>
      <c r="E30" s="18"/>
      <c r="F30" s="173"/>
      <c r="G30" s="173"/>
      <c r="H30" s="173"/>
      <c r="I30" s="173"/>
      <c r="J30" s="173"/>
      <c r="K30" s="173"/>
      <c r="L30" s="173"/>
      <c r="M30" s="13"/>
      <c r="N30" s="13"/>
      <c r="O30" s="13"/>
      <c r="P30" s="13"/>
      <c r="Q30" s="173"/>
      <c r="R30" s="175">
        <f t="array" ref="R30">LEN(C30)-SUM((LEN(C30)-LEN(SUBSTITUTE(C30,修饰列表!$B$2:$B$79,修饰列表!$D$2:$D$79))))</f>
        <v>0</v>
      </c>
    </row>
    <row r="31" spans="1:18">
      <c r="A31" s="171"/>
      <c r="B31" s="178"/>
      <c r="C31" s="178"/>
      <c r="D31" s="178"/>
      <c r="E31" s="18"/>
      <c r="F31" s="173"/>
      <c r="G31" s="173"/>
      <c r="H31" s="173"/>
      <c r="I31" s="173"/>
      <c r="J31" s="173"/>
      <c r="K31" s="173"/>
      <c r="L31" s="173"/>
      <c r="M31" s="13"/>
      <c r="N31" s="13"/>
      <c r="O31" s="13"/>
      <c r="P31" s="13"/>
      <c r="Q31" s="173"/>
      <c r="R31" s="175">
        <f t="array" ref="R31">LEN(C31)-SUM((LEN(C31)-LEN(SUBSTITUTE(C31,修饰列表!$B$2:$B$79,修饰列表!$D$2:$D$79))))</f>
        <v>0</v>
      </c>
    </row>
    <row r="32" spans="1:18">
      <c r="A32" s="171"/>
      <c r="B32" s="178"/>
      <c r="C32" s="178"/>
      <c r="D32" s="178"/>
      <c r="E32" s="18"/>
      <c r="F32" s="173"/>
      <c r="G32" s="173"/>
      <c r="H32" s="173"/>
      <c r="I32" s="173"/>
      <c r="J32" s="173"/>
      <c r="K32" s="173"/>
      <c r="L32" s="173"/>
      <c r="M32" s="13"/>
      <c r="N32" s="13"/>
      <c r="O32" s="13"/>
      <c r="P32" s="13"/>
      <c r="Q32" s="173"/>
      <c r="R32" s="175">
        <f t="array" ref="R32">LEN(C32)-SUM((LEN(C32)-LEN(SUBSTITUTE(C32,修饰列表!$B$2:$B$79,修饰列表!$D$2:$D$79))))</f>
        <v>0</v>
      </c>
    </row>
    <row r="33" spans="1:18">
      <c r="A33" s="171"/>
      <c r="B33" s="181"/>
      <c r="C33" s="182"/>
      <c r="D33" s="182"/>
      <c r="E33" s="18"/>
      <c r="F33" s="173"/>
      <c r="G33" s="173"/>
      <c r="H33" s="173"/>
      <c r="I33" s="173"/>
      <c r="J33" s="173"/>
      <c r="K33" s="173"/>
      <c r="L33" s="173"/>
      <c r="M33" s="13"/>
      <c r="N33" s="13"/>
      <c r="O33" s="13"/>
      <c r="P33" s="13"/>
      <c r="Q33" s="173"/>
      <c r="R33" s="175">
        <f t="array" ref="R33">LEN(C33)-SUM((LEN(C33)-LEN(SUBSTITUTE(C33,修饰列表!$B$2:$B$79,修饰列表!$D$2:$D$79))))</f>
        <v>0</v>
      </c>
    </row>
    <row r="34" spans="1:18">
      <c r="A34" s="171"/>
      <c r="B34" s="181"/>
      <c r="C34" s="182"/>
      <c r="D34" s="182"/>
      <c r="E34" s="18"/>
      <c r="F34" s="173"/>
      <c r="G34" s="173"/>
      <c r="H34" s="173"/>
      <c r="I34" s="173"/>
      <c r="J34" s="173"/>
      <c r="K34" s="173"/>
      <c r="L34" s="173"/>
      <c r="M34" s="13"/>
      <c r="N34" s="13"/>
      <c r="O34" s="13"/>
      <c r="P34" s="13"/>
      <c r="Q34" s="173"/>
      <c r="R34" s="175">
        <f t="array" ref="R34">LEN(C34)-SUM((LEN(C34)-LEN(SUBSTITUTE(C34,修饰列表!$B$2:$B$79,修饰列表!$D$2:$D$79))))</f>
        <v>0</v>
      </c>
    </row>
    <row r="35" spans="1:18">
      <c r="A35" s="171"/>
      <c r="B35" s="181"/>
      <c r="C35" s="182"/>
      <c r="D35" s="182"/>
      <c r="E35" s="18"/>
      <c r="F35" s="173"/>
      <c r="G35" s="173"/>
      <c r="H35" s="173"/>
      <c r="I35" s="173"/>
      <c r="J35" s="173"/>
      <c r="K35" s="173"/>
      <c r="L35" s="173"/>
      <c r="M35" s="13"/>
      <c r="N35" s="13"/>
      <c r="O35" s="13"/>
      <c r="P35" s="13"/>
      <c r="Q35" s="173"/>
      <c r="R35" s="175">
        <f t="array" ref="R35">LEN(C35)-SUM((LEN(C35)-LEN(SUBSTITUTE(C35,修饰列表!$B$2:$B$79,修饰列表!$D$2:$D$79))))</f>
        <v>0</v>
      </c>
    </row>
    <row r="36" spans="1:18">
      <c r="A36" s="171"/>
      <c r="B36" s="181"/>
      <c r="C36" s="182"/>
      <c r="D36" s="182"/>
      <c r="E36" s="18"/>
      <c r="F36" s="173"/>
      <c r="G36" s="173"/>
      <c r="H36" s="173"/>
      <c r="I36" s="173"/>
      <c r="J36" s="173"/>
      <c r="K36" s="173"/>
      <c r="L36" s="173"/>
      <c r="M36" s="13"/>
      <c r="N36" s="13"/>
      <c r="O36" s="13"/>
      <c r="P36" s="13"/>
      <c r="Q36" s="173"/>
      <c r="R36" s="175">
        <f t="array" ref="R36">LEN(C36)-SUM((LEN(C36)-LEN(SUBSTITUTE(C36,修饰列表!$B$2:$B$79,修饰列表!$D$2:$D$79))))</f>
        <v>0</v>
      </c>
    </row>
    <row r="37" spans="1:18">
      <c r="A37" s="171"/>
      <c r="B37" s="181"/>
      <c r="C37" s="182"/>
      <c r="D37" s="182"/>
      <c r="E37" s="18"/>
      <c r="F37" s="173"/>
      <c r="G37" s="173"/>
      <c r="H37" s="173"/>
      <c r="I37" s="173"/>
      <c r="J37" s="173"/>
      <c r="K37" s="173"/>
      <c r="L37" s="173"/>
      <c r="M37" s="13"/>
      <c r="N37" s="13"/>
      <c r="O37" s="13"/>
      <c r="P37" s="13"/>
      <c r="Q37" s="173"/>
      <c r="R37" s="175">
        <f t="array" ref="R37">LEN(C37)-SUM((LEN(C37)-LEN(SUBSTITUTE(C37,修饰列表!$B$2:$B$79,修饰列表!$D$2:$D$79))))</f>
        <v>0</v>
      </c>
    </row>
    <row r="38" spans="1:18">
      <c r="A38" s="171"/>
      <c r="B38" s="181"/>
      <c r="C38" s="182"/>
      <c r="D38" s="182"/>
      <c r="E38" s="18"/>
      <c r="F38" s="173"/>
      <c r="G38" s="173"/>
      <c r="H38" s="173"/>
      <c r="I38" s="173"/>
      <c r="J38" s="173"/>
      <c r="K38" s="173"/>
      <c r="L38" s="173"/>
      <c r="M38" s="13"/>
      <c r="N38" s="13"/>
      <c r="O38" s="13"/>
      <c r="P38" s="13"/>
      <c r="Q38" s="173"/>
      <c r="R38" s="175">
        <f t="array" ref="R38">LEN(C38)-SUM((LEN(C38)-LEN(SUBSTITUTE(C38,修饰列表!$B$2:$B$79,修饰列表!$D$2:$D$79))))</f>
        <v>0</v>
      </c>
    </row>
    <row r="39" spans="1:18">
      <c r="A39" s="171"/>
      <c r="B39" s="181"/>
      <c r="C39" s="182"/>
      <c r="D39" s="182"/>
      <c r="E39" s="18"/>
      <c r="F39" s="173"/>
      <c r="G39" s="173"/>
      <c r="H39" s="173"/>
      <c r="I39" s="173"/>
      <c r="J39" s="173"/>
      <c r="K39" s="173"/>
      <c r="L39" s="173"/>
      <c r="M39" s="13"/>
      <c r="N39" s="13"/>
      <c r="O39" s="13"/>
      <c r="P39" s="13"/>
      <c r="Q39" s="173"/>
      <c r="R39" s="175">
        <f t="array" ref="R39">LEN(C39)-SUM((LEN(C39)-LEN(SUBSTITUTE(C39,修饰列表!$B$2:$B$79,修饰列表!$D$2:$D$79))))</f>
        <v>0</v>
      </c>
    </row>
    <row r="40" spans="1:18">
      <c r="A40" s="171"/>
      <c r="B40" s="181"/>
      <c r="C40" s="182"/>
      <c r="D40" s="182"/>
      <c r="E40" s="18"/>
      <c r="F40" s="173"/>
      <c r="G40" s="173"/>
      <c r="H40" s="173"/>
      <c r="I40" s="173"/>
      <c r="J40" s="173"/>
      <c r="K40" s="173"/>
      <c r="L40" s="173"/>
      <c r="M40" s="13"/>
      <c r="N40" s="13"/>
      <c r="O40" s="13"/>
      <c r="P40" s="13"/>
      <c r="Q40" s="173"/>
      <c r="R40" s="175">
        <f t="array" ref="R40">LEN(C40)-SUM((LEN(C40)-LEN(SUBSTITUTE(C40,修饰列表!$B$2:$B$79,修饰列表!$D$2:$D$79))))</f>
        <v>0</v>
      </c>
    </row>
    <row r="41" spans="1:18">
      <c r="A41" s="171"/>
      <c r="B41" s="181"/>
      <c r="C41" s="182"/>
      <c r="D41" s="182"/>
      <c r="E41" s="18"/>
      <c r="F41" s="173"/>
      <c r="G41" s="173"/>
      <c r="H41" s="173"/>
      <c r="I41" s="173"/>
      <c r="J41" s="173"/>
      <c r="K41" s="173"/>
      <c r="L41" s="173"/>
      <c r="M41" s="13"/>
      <c r="N41" s="13"/>
      <c r="O41" s="13"/>
      <c r="P41" s="13"/>
      <c r="Q41" s="173"/>
      <c r="R41" s="175">
        <f t="array" ref="R41">LEN(C41)-SUM((LEN(C41)-LEN(SUBSTITUTE(C41,修饰列表!$B$2:$B$79,修饰列表!$D$2:$D$79))))</f>
        <v>0</v>
      </c>
    </row>
    <row r="42" spans="1:18">
      <c r="A42" s="171"/>
      <c r="B42" s="181"/>
      <c r="C42" s="182"/>
      <c r="D42" s="182"/>
      <c r="E42" s="18"/>
      <c r="F42" s="173"/>
      <c r="G42" s="173"/>
      <c r="H42" s="173"/>
      <c r="I42" s="173"/>
      <c r="J42" s="173"/>
      <c r="K42" s="173"/>
      <c r="L42" s="173"/>
      <c r="M42" s="13"/>
      <c r="N42" s="13"/>
      <c r="O42" s="13"/>
      <c r="P42" s="13"/>
      <c r="Q42" s="173"/>
      <c r="R42" s="175">
        <f t="array" ref="R42">LEN(C42)-SUM((LEN(C42)-LEN(SUBSTITUTE(C42,修饰列表!$B$2:$B$79,修饰列表!$D$2:$D$79))))</f>
        <v>0</v>
      </c>
    </row>
    <row r="43" spans="1:18">
      <c r="A43" s="171"/>
      <c r="B43" s="181"/>
      <c r="C43" s="182"/>
      <c r="D43" s="182"/>
      <c r="E43" s="18"/>
      <c r="F43" s="173"/>
      <c r="G43" s="173"/>
      <c r="H43" s="173"/>
      <c r="I43" s="173"/>
      <c r="J43" s="173"/>
      <c r="K43" s="173"/>
      <c r="L43" s="173"/>
      <c r="M43" s="13"/>
      <c r="N43" s="13"/>
      <c r="O43" s="13"/>
      <c r="P43" s="13"/>
      <c r="Q43" s="173"/>
      <c r="R43" s="175">
        <f t="array" ref="R43">LEN(C43)-SUM((LEN(C43)-LEN(SUBSTITUTE(C43,修饰列表!$B$2:$B$79,修饰列表!$D$2:$D$79))))</f>
        <v>0</v>
      </c>
    </row>
    <row r="44" spans="1:18">
      <c r="A44" s="171"/>
      <c r="B44" s="181"/>
      <c r="C44" s="182"/>
      <c r="D44" s="182"/>
      <c r="E44" s="18"/>
      <c r="F44" s="173"/>
      <c r="G44" s="173"/>
      <c r="H44" s="173"/>
      <c r="I44" s="173"/>
      <c r="J44" s="173"/>
      <c r="K44" s="173"/>
      <c r="L44" s="173"/>
      <c r="M44" s="13"/>
      <c r="N44" s="13"/>
      <c r="O44" s="13"/>
      <c r="P44" s="13"/>
      <c r="Q44" s="173"/>
      <c r="R44" s="175">
        <f t="array" ref="R44">LEN(C44)-SUM((LEN(C44)-LEN(SUBSTITUTE(C44,修饰列表!$B$2:$B$79,修饰列表!$D$2:$D$79))))</f>
        <v>0</v>
      </c>
    </row>
    <row r="45" spans="1:18">
      <c r="A45" s="171"/>
      <c r="B45" s="181"/>
      <c r="C45" s="182"/>
      <c r="D45" s="182"/>
      <c r="E45" s="18"/>
      <c r="F45" s="173"/>
      <c r="G45" s="173"/>
      <c r="H45" s="173"/>
      <c r="I45" s="173"/>
      <c r="J45" s="173"/>
      <c r="K45" s="173"/>
      <c r="L45" s="173"/>
      <c r="M45" s="13"/>
      <c r="N45" s="13"/>
      <c r="O45" s="13"/>
      <c r="P45" s="13"/>
      <c r="Q45" s="173"/>
      <c r="R45" s="175">
        <f t="array" ref="R45">LEN(C45)-SUM((LEN(C45)-LEN(SUBSTITUTE(C45,修饰列表!$B$2:$B$79,修饰列表!$D$2:$D$79))))</f>
        <v>0</v>
      </c>
    </row>
    <row r="46" spans="1:18">
      <c r="A46" s="171"/>
      <c r="B46" s="181"/>
      <c r="C46" s="182"/>
      <c r="D46" s="182"/>
      <c r="E46" s="18"/>
      <c r="F46" s="173"/>
      <c r="G46" s="173"/>
      <c r="H46" s="173"/>
      <c r="I46" s="173"/>
      <c r="J46" s="173"/>
      <c r="K46" s="173"/>
      <c r="L46" s="173"/>
      <c r="M46" s="13"/>
      <c r="N46" s="13"/>
      <c r="O46" s="13"/>
      <c r="P46" s="13"/>
      <c r="Q46" s="173"/>
      <c r="R46" s="175">
        <f t="array" ref="R46">LEN(C46)-SUM((LEN(C46)-LEN(SUBSTITUTE(C46,修饰列表!$B$2:$B$79,修饰列表!$D$2:$D$79))))</f>
        <v>0</v>
      </c>
    </row>
    <row r="47" spans="1:18">
      <c r="A47" s="171"/>
      <c r="B47" s="181"/>
      <c r="C47" s="182"/>
      <c r="D47" s="182"/>
      <c r="E47" s="18"/>
      <c r="F47" s="173"/>
      <c r="G47" s="173"/>
      <c r="H47" s="173"/>
      <c r="I47" s="173"/>
      <c r="J47" s="173"/>
      <c r="K47" s="173"/>
      <c r="L47" s="173"/>
      <c r="M47" s="13"/>
      <c r="N47" s="13"/>
      <c r="O47" s="13"/>
      <c r="P47" s="13"/>
      <c r="Q47" s="173"/>
      <c r="R47" s="175">
        <f t="array" ref="R47">LEN(C47)-SUM((LEN(C47)-LEN(SUBSTITUTE(C47,修饰列表!$B$2:$B$79,修饰列表!$D$2:$D$79))))</f>
        <v>0</v>
      </c>
    </row>
    <row r="48" spans="1:18">
      <c r="A48" s="171"/>
      <c r="B48" s="181"/>
      <c r="C48" s="182"/>
      <c r="D48" s="182"/>
      <c r="E48" s="18"/>
      <c r="F48" s="173"/>
      <c r="G48" s="173"/>
      <c r="H48" s="173"/>
      <c r="I48" s="173"/>
      <c r="J48" s="173"/>
      <c r="K48" s="173"/>
      <c r="L48" s="173"/>
      <c r="M48" s="13"/>
      <c r="N48" s="13"/>
      <c r="O48" s="13"/>
      <c r="P48" s="13"/>
      <c r="Q48" s="173"/>
      <c r="R48" s="175">
        <f t="array" ref="R48">LEN(C48)-SUM((LEN(C48)-LEN(SUBSTITUTE(C48,修饰列表!$B$2:$B$79,修饰列表!$D$2:$D$79))))</f>
        <v>0</v>
      </c>
    </row>
    <row r="49" spans="1:18">
      <c r="A49" s="171"/>
      <c r="B49" s="181"/>
      <c r="C49" s="182"/>
      <c r="D49" s="182"/>
      <c r="E49" s="18"/>
      <c r="F49" s="173"/>
      <c r="G49" s="173"/>
      <c r="H49" s="173"/>
      <c r="I49" s="173"/>
      <c r="J49" s="173"/>
      <c r="K49" s="173"/>
      <c r="L49" s="173"/>
      <c r="M49" s="13"/>
      <c r="N49" s="13"/>
      <c r="O49" s="13"/>
      <c r="P49" s="13"/>
      <c r="Q49" s="173"/>
      <c r="R49" s="175">
        <f t="array" ref="R49">LEN(C49)-SUM((LEN(C49)-LEN(SUBSTITUTE(C49,修饰列表!$B$2:$B$79,修饰列表!$D$2:$D$79))))</f>
        <v>0</v>
      </c>
    </row>
    <row r="50" spans="1:18">
      <c r="A50" s="171"/>
      <c r="B50" s="181"/>
      <c r="C50" s="182"/>
      <c r="D50" s="182"/>
      <c r="E50" s="18"/>
      <c r="F50" s="173"/>
      <c r="G50" s="173"/>
      <c r="H50" s="173"/>
      <c r="I50" s="173"/>
      <c r="J50" s="173"/>
      <c r="K50" s="173"/>
      <c r="L50" s="173"/>
      <c r="M50" s="13"/>
      <c r="N50" s="13"/>
      <c r="O50" s="13"/>
      <c r="P50" s="13"/>
      <c r="Q50" s="173"/>
      <c r="R50" s="175">
        <f t="array" ref="R50">LEN(C50)-SUM((LEN(C50)-LEN(SUBSTITUTE(C50,修饰列表!$B$2:$B$79,修饰列表!$D$2:$D$79))))</f>
        <v>0</v>
      </c>
    </row>
    <row r="51" spans="1:18">
      <c r="A51" s="171"/>
      <c r="B51" s="181"/>
      <c r="C51" s="182"/>
      <c r="D51" s="182"/>
      <c r="E51" s="18"/>
      <c r="F51" s="173"/>
      <c r="G51" s="173"/>
      <c r="H51" s="173"/>
      <c r="I51" s="173"/>
      <c r="J51" s="173"/>
      <c r="K51" s="173"/>
      <c r="L51" s="173"/>
      <c r="M51" s="13"/>
      <c r="N51" s="13"/>
      <c r="O51" s="13"/>
      <c r="P51" s="13"/>
      <c r="Q51" s="173"/>
      <c r="R51" s="175">
        <f t="array" ref="R51">LEN(C51)-SUM((LEN(C51)-LEN(SUBSTITUTE(C51,修饰列表!$B$2:$B$79,修饰列表!$D$2:$D$79))))</f>
        <v>0</v>
      </c>
    </row>
    <row r="52" spans="1:18">
      <c r="A52" s="171"/>
      <c r="B52" s="181"/>
      <c r="C52" s="182"/>
      <c r="D52" s="182"/>
      <c r="E52" s="18"/>
      <c r="F52" s="173"/>
      <c r="G52" s="173"/>
      <c r="H52" s="173"/>
      <c r="I52" s="173"/>
      <c r="J52" s="173"/>
      <c r="K52" s="173"/>
      <c r="L52" s="173"/>
      <c r="M52" s="13"/>
      <c r="N52" s="13"/>
      <c r="O52" s="13"/>
      <c r="P52" s="13"/>
      <c r="Q52" s="173"/>
      <c r="R52" s="175">
        <f t="array" ref="R52">LEN(C52)-SUM((LEN(C52)-LEN(SUBSTITUTE(C52,修饰列表!$B$2:$B$79,修饰列表!$D$2:$D$79))))</f>
        <v>0</v>
      </c>
    </row>
    <row r="53" spans="1:18">
      <c r="A53" s="171"/>
      <c r="B53" s="181"/>
      <c r="C53" s="182"/>
      <c r="D53" s="182"/>
      <c r="E53" s="18"/>
      <c r="F53" s="173"/>
      <c r="G53" s="173"/>
      <c r="H53" s="173"/>
      <c r="I53" s="173"/>
      <c r="J53" s="173"/>
      <c r="K53" s="173"/>
      <c r="L53" s="173"/>
      <c r="M53" s="13"/>
      <c r="N53" s="13"/>
      <c r="O53" s="13"/>
      <c r="P53" s="13"/>
      <c r="Q53" s="173"/>
      <c r="R53" s="175">
        <f t="array" ref="R53">LEN(C53)-SUM((LEN(C53)-LEN(SUBSTITUTE(C53,修饰列表!$B$2:$B$79,修饰列表!$D$2:$D$79))))</f>
        <v>0</v>
      </c>
    </row>
    <row r="54" spans="1:18">
      <c r="A54" s="171"/>
      <c r="B54" s="181"/>
      <c r="C54" s="182"/>
      <c r="D54" s="182"/>
      <c r="E54" s="18"/>
      <c r="F54" s="173"/>
      <c r="G54" s="173"/>
      <c r="H54" s="173"/>
      <c r="I54" s="173"/>
      <c r="J54" s="173"/>
      <c r="K54" s="173"/>
      <c r="L54" s="173"/>
      <c r="M54" s="13"/>
      <c r="N54" s="13"/>
      <c r="O54" s="13"/>
      <c r="P54" s="13"/>
      <c r="Q54" s="173"/>
      <c r="R54" s="175">
        <f t="array" ref="R54">LEN(C54)-SUM((LEN(C54)-LEN(SUBSTITUTE(C54,修饰列表!$B$2:$B$79,修饰列表!$D$2:$D$79))))</f>
        <v>0</v>
      </c>
    </row>
    <row r="55" spans="1:18">
      <c r="A55" s="171"/>
      <c r="B55" s="181"/>
      <c r="C55" s="182"/>
      <c r="D55" s="182"/>
      <c r="E55" s="18"/>
      <c r="F55" s="173"/>
      <c r="G55" s="173"/>
      <c r="H55" s="173"/>
      <c r="I55" s="173"/>
      <c r="J55" s="173"/>
      <c r="K55" s="173"/>
      <c r="L55" s="173"/>
      <c r="M55" s="13"/>
      <c r="N55" s="13"/>
      <c r="O55" s="13"/>
      <c r="P55" s="13"/>
      <c r="Q55" s="173"/>
      <c r="R55" s="175">
        <f t="array" ref="R55">LEN(C55)-SUM((LEN(C55)-LEN(SUBSTITUTE(C55,修饰列表!$B$2:$B$79,修饰列表!$D$2:$D$79))))</f>
        <v>0</v>
      </c>
    </row>
    <row r="56" spans="1:18">
      <c r="A56" s="171"/>
      <c r="B56" s="181"/>
      <c r="C56" s="182"/>
      <c r="D56" s="182"/>
      <c r="E56" s="18"/>
      <c r="F56" s="173"/>
      <c r="G56" s="173"/>
      <c r="H56" s="173"/>
      <c r="I56" s="173"/>
      <c r="J56" s="173"/>
      <c r="K56" s="173"/>
      <c r="L56" s="173"/>
      <c r="M56" s="13"/>
      <c r="N56" s="13"/>
      <c r="O56" s="13"/>
      <c r="P56" s="13"/>
      <c r="Q56" s="173"/>
      <c r="R56" s="175">
        <f t="array" ref="R56">LEN(C56)-SUM((LEN(C56)-LEN(SUBSTITUTE(C56,修饰列表!$B$2:$B$79,修饰列表!$D$2:$D$79))))</f>
        <v>0</v>
      </c>
    </row>
    <row r="57" spans="1:18">
      <c r="A57" s="171"/>
      <c r="B57" s="181"/>
      <c r="C57" s="182"/>
      <c r="D57" s="182"/>
      <c r="E57" s="18"/>
      <c r="F57" s="173"/>
      <c r="G57" s="173"/>
      <c r="H57" s="173"/>
      <c r="I57" s="173"/>
      <c r="J57" s="173"/>
      <c r="K57" s="173"/>
      <c r="L57" s="173"/>
      <c r="M57" s="13"/>
      <c r="N57" s="13"/>
      <c r="O57" s="13"/>
      <c r="P57" s="13"/>
      <c r="Q57" s="173"/>
      <c r="R57" s="175">
        <f t="array" ref="R57">LEN(C57)-SUM((LEN(C57)-LEN(SUBSTITUTE(C57,修饰列表!$B$2:$B$79,修饰列表!$D$2:$D$79))))</f>
        <v>0</v>
      </c>
    </row>
    <row r="58" spans="1:18">
      <c r="A58" s="171"/>
      <c r="B58" s="181"/>
      <c r="C58" s="182"/>
      <c r="D58" s="182"/>
      <c r="E58" s="18"/>
      <c r="F58" s="173"/>
      <c r="G58" s="173"/>
      <c r="H58" s="173"/>
      <c r="I58" s="173"/>
      <c r="J58" s="173"/>
      <c r="K58" s="173"/>
      <c r="L58" s="173"/>
      <c r="M58" s="13"/>
      <c r="N58" s="13"/>
      <c r="O58" s="13"/>
      <c r="P58" s="13"/>
      <c r="Q58" s="173"/>
      <c r="R58" s="175">
        <f t="array" ref="R58">LEN(C58)-SUM((LEN(C58)-LEN(SUBSTITUTE(C58,修饰列表!$B$2:$B$79,修饰列表!$D$2:$D$79))))</f>
        <v>0</v>
      </c>
    </row>
    <row r="59" spans="1:18">
      <c r="A59" s="171"/>
      <c r="B59" s="181"/>
      <c r="C59" s="182"/>
      <c r="D59" s="182"/>
      <c r="E59" s="18"/>
      <c r="F59" s="173"/>
      <c r="G59" s="173"/>
      <c r="H59" s="173"/>
      <c r="I59" s="173"/>
      <c r="J59" s="173"/>
      <c r="K59" s="173"/>
      <c r="L59" s="173"/>
      <c r="M59" s="13"/>
      <c r="N59" s="13"/>
      <c r="O59" s="13"/>
      <c r="P59" s="13"/>
      <c r="Q59" s="173"/>
      <c r="R59" s="175">
        <f t="array" ref="R59">LEN(C59)-SUM((LEN(C59)-LEN(SUBSTITUTE(C59,修饰列表!$B$2:$B$79,修饰列表!$D$2:$D$79))))</f>
        <v>0</v>
      </c>
    </row>
    <row r="60" spans="1:18">
      <c r="A60" s="171"/>
      <c r="B60" s="181"/>
      <c r="C60" s="182"/>
      <c r="D60" s="182"/>
      <c r="E60" s="18"/>
      <c r="F60" s="173"/>
      <c r="G60" s="173"/>
      <c r="H60" s="173"/>
      <c r="I60" s="173"/>
      <c r="J60" s="173"/>
      <c r="K60" s="173"/>
      <c r="L60" s="173"/>
      <c r="M60" s="13"/>
      <c r="N60" s="13"/>
      <c r="O60" s="13"/>
      <c r="P60" s="13"/>
      <c r="Q60" s="173"/>
      <c r="R60" s="175">
        <f t="array" ref="R60">LEN(C60)-SUM((LEN(C60)-LEN(SUBSTITUTE(C60,修饰列表!$B$2:$B$79,修饰列表!$D$2:$D$79))))</f>
        <v>0</v>
      </c>
    </row>
    <row r="61" spans="1:18">
      <c r="A61" s="171"/>
      <c r="B61" s="181"/>
      <c r="C61" s="182"/>
      <c r="D61" s="182"/>
      <c r="E61" s="18"/>
      <c r="F61" s="173"/>
      <c r="G61" s="173"/>
      <c r="H61" s="173"/>
      <c r="I61" s="173"/>
      <c r="J61" s="173"/>
      <c r="K61" s="173"/>
      <c r="L61" s="173"/>
      <c r="M61" s="13"/>
      <c r="N61" s="13"/>
      <c r="O61" s="13"/>
      <c r="P61" s="13"/>
      <c r="Q61" s="173"/>
      <c r="R61" s="175">
        <f>LEN(C61)-SUM((LEN(C61)-LEN(SUBSTITUTE(C61,修饰列表!$B$2:$B$80,修饰列表!$D$2:$D$80))))</f>
        <v>0</v>
      </c>
    </row>
    <row r="62" spans="1:18">
      <c r="A62" s="171"/>
      <c r="B62" s="181"/>
      <c r="C62" s="182"/>
      <c r="D62" s="182"/>
      <c r="E62" s="18"/>
      <c r="F62" s="173"/>
      <c r="G62" s="173"/>
      <c r="H62" s="173"/>
      <c r="I62" s="173"/>
      <c r="J62" s="173"/>
      <c r="K62" s="173"/>
      <c r="L62" s="173"/>
      <c r="M62" s="13"/>
      <c r="N62" s="13"/>
      <c r="O62" s="13"/>
      <c r="P62" s="13"/>
      <c r="Q62" s="173"/>
      <c r="R62" s="175">
        <f>LEN(C62)-SUM((LEN(C62)-LEN(SUBSTITUTE(C62,修饰列表!$B$2:$B$80,修饰列表!$D$2:$D$80))))</f>
        <v>0</v>
      </c>
    </row>
    <row r="63" spans="1:18">
      <c r="A63" s="171"/>
      <c r="B63" s="181"/>
      <c r="C63" s="182"/>
      <c r="D63" s="182"/>
      <c r="E63" s="18"/>
      <c r="F63" s="173"/>
      <c r="G63" s="173"/>
      <c r="H63" s="173"/>
      <c r="I63" s="173"/>
      <c r="J63" s="173"/>
      <c r="K63" s="173"/>
      <c r="L63" s="173"/>
      <c r="M63" s="13"/>
      <c r="N63" s="13"/>
      <c r="O63" s="13"/>
      <c r="P63" s="13"/>
      <c r="Q63" s="173"/>
      <c r="R63" s="175">
        <f>LEN(C63)-SUM((LEN(C63)-LEN(SUBSTITUTE(C63,修饰列表!$B$2:$B$80,修饰列表!$D$2:$D$80))))</f>
        <v>0</v>
      </c>
    </row>
    <row r="64" spans="1:18">
      <c r="A64" s="171"/>
      <c r="B64" s="181"/>
      <c r="C64" s="182"/>
      <c r="D64" s="182"/>
      <c r="E64" s="18"/>
      <c r="F64" s="173"/>
      <c r="G64" s="173"/>
      <c r="H64" s="173"/>
      <c r="I64" s="173"/>
      <c r="J64" s="173"/>
      <c r="K64" s="173"/>
      <c r="L64" s="173"/>
      <c r="M64" s="13"/>
      <c r="N64" s="13"/>
      <c r="O64" s="13"/>
      <c r="P64" s="13"/>
      <c r="Q64" s="173"/>
      <c r="R64" s="175">
        <f>LEN(C64)-SUM((LEN(C64)-LEN(SUBSTITUTE(C64,修饰列表!$B$2:$B$80,修饰列表!$D$2:$D$80))))</f>
        <v>0</v>
      </c>
    </row>
    <row r="65" spans="1:18">
      <c r="A65" s="171"/>
      <c r="B65" s="181"/>
      <c r="C65" s="182"/>
      <c r="D65" s="182"/>
      <c r="E65" s="18"/>
      <c r="F65" s="173"/>
      <c r="G65" s="173"/>
      <c r="H65" s="173"/>
      <c r="I65" s="173"/>
      <c r="J65" s="173"/>
      <c r="K65" s="173"/>
      <c r="L65" s="173"/>
      <c r="M65" s="13"/>
      <c r="N65" s="13"/>
      <c r="O65" s="13"/>
      <c r="P65" s="13"/>
      <c r="Q65" s="173"/>
      <c r="R65" s="175">
        <f>LEN(C65)-SUM((LEN(C65)-LEN(SUBSTITUTE(C65,修饰列表!$B$2:$B$80,修饰列表!$D$2:$D$80))))</f>
        <v>0</v>
      </c>
    </row>
    <row r="66" spans="1:18">
      <c r="A66" s="171"/>
      <c r="B66" s="181"/>
      <c r="C66" s="182"/>
      <c r="D66" s="182"/>
      <c r="E66" s="18"/>
      <c r="F66" s="173"/>
      <c r="G66" s="173"/>
      <c r="H66" s="173"/>
      <c r="I66" s="173"/>
      <c r="J66" s="173"/>
      <c r="K66" s="173"/>
      <c r="L66" s="173"/>
      <c r="M66" s="13"/>
      <c r="N66" s="13"/>
      <c r="O66" s="13"/>
      <c r="P66" s="13"/>
      <c r="Q66" s="173"/>
      <c r="R66" s="175">
        <f>LEN(C66)-SUM((LEN(C66)-LEN(SUBSTITUTE(C66,修饰列表!$B$2:$B$80,修饰列表!$D$2:$D$80))))</f>
        <v>0</v>
      </c>
    </row>
    <row r="67" spans="1:18">
      <c r="A67" s="171"/>
      <c r="B67" s="181"/>
      <c r="C67" s="182"/>
      <c r="D67" s="182"/>
      <c r="E67" s="18"/>
      <c r="F67" s="173"/>
      <c r="G67" s="173"/>
      <c r="H67" s="173"/>
      <c r="I67" s="173"/>
      <c r="J67" s="173"/>
      <c r="K67" s="173"/>
      <c r="L67" s="173"/>
      <c r="M67" s="13"/>
      <c r="N67" s="13"/>
      <c r="O67" s="13"/>
      <c r="P67" s="13"/>
      <c r="Q67" s="173"/>
      <c r="R67" s="175">
        <f>LEN(C67)-SUM((LEN(C67)-LEN(SUBSTITUTE(C67,修饰列表!$B$2:$B$80,修饰列表!$D$2:$D$80))))</f>
        <v>0</v>
      </c>
    </row>
    <row r="68" spans="1:18">
      <c r="A68" s="171"/>
      <c r="B68" s="181"/>
      <c r="C68" s="182"/>
      <c r="D68" s="182"/>
      <c r="E68" s="18"/>
      <c r="F68" s="173"/>
      <c r="G68" s="173"/>
      <c r="H68" s="173"/>
      <c r="I68" s="173"/>
      <c r="J68" s="173"/>
      <c r="K68" s="173"/>
      <c r="L68" s="173"/>
      <c r="M68" s="13"/>
      <c r="N68" s="13"/>
      <c r="O68" s="13"/>
      <c r="P68" s="13"/>
      <c r="Q68" s="173"/>
      <c r="R68" s="175">
        <f>LEN(C68)-SUM((LEN(C68)-LEN(SUBSTITUTE(C68,修饰列表!$B$2:$B$80,修饰列表!$D$2:$D$80))))</f>
        <v>0</v>
      </c>
    </row>
    <row r="69" spans="1:18">
      <c r="A69" s="171"/>
      <c r="B69" s="181"/>
      <c r="C69" s="182"/>
      <c r="D69" s="182"/>
      <c r="E69" s="18"/>
      <c r="F69" s="173"/>
      <c r="G69" s="173"/>
      <c r="H69" s="173"/>
      <c r="I69" s="173"/>
      <c r="J69" s="173"/>
      <c r="K69" s="173"/>
      <c r="L69" s="173"/>
      <c r="M69" s="13"/>
      <c r="N69" s="13"/>
      <c r="O69" s="13"/>
      <c r="P69" s="13"/>
      <c r="Q69" s="173"/>
      <c r="R69" s="175">
        <f>LEN(C69)-SUM((LEN(C69)-LEN(SUBSTITUTE(C69,修饰列表!$B$2:$B$80,修饰列表!$D$2:$D$80))))</f>
        <v>0</v>
      </c>
    </row>
    <row r="70" spans="1:18">
      <c r="A70" s="171"/>
      <c r="B70" s="181"/>
      <c r="C70" s="182"/>
      <c r="D70" s="182"/>
      <c r="E70" s="18"/>
      <c r="F70" s="173"/>
      <c r="G70" s="173"/>
      <c r="H70" s="173"/>
      <c r="I70" s="173"/>
      <c r="J70" s="173"/>
      <c r="K70" s="173"/>
      <c r="L70" s="173"/>
      <c r="M70" s="13"/>
      <c r="N70" s="13"/>
      <c r="O70" s="13"/>
      <c r="P70" s="13"/>
      <c r="Q70" s="173"/>
      <c r="R70" s="175">
        <f>LEN(C70)-SUM((LEN(C70)-LEN(SUBSTITUTE(C70,修饰列表!$B$2:$B$80,修饰列表!$D$2:$D$80))))</f>
        <v>0</v>
      </c>
    </row>
    <row r="71" spans="1:18">
      <c r="A71" s="171"/>
      <c r="B71" s="181"/>
      <c r="C71" s="182"/>
      <c r="D71" s="182"/>
      <c r="E71" s="18"/>
      <c r="F71" s="173"/>
      <c r="G71" s="173"/>
      <c r="H71" s="173"/>
      <c r="I71" s="173"/>
      <c r="J71" s="173"/>
      <c r="K71" s="173"/>
      <c r="L71" s="173"/>
      <c r="M71" s="13"/>
      <c r="N71" s="13"/>
      <c r="O71" s="13"/>
      <c r="P71" s="13"/>
      <c r="Q71" s="173"/>
      <c r="R71" s="175">
        <f>LEN(C71)-SUM((LEN(C71)-LEN(SUBSTITUTE(C71,修饰列表!$B$2:$B$80,修饰列表!$D$2:$D$80))))</f>
        <v>0</v>
      </c>
    </row>
    <row r="72" spans="1:18">
      <c r="A72" s="171"/>
      <c r="B72" s="181"/>
      <c r="C72" s="182"/>
      <c r="D72" s="182"/>
      <c r="E72" s="18"/>
      <c r="F72" s="173"/>
      <c r="G72" s="173"/>
      <c r="H72" s="173"/>
      <c r="I72" s="173"/>
      <c r="J72" s="173"/>
      <c r="K72" s="173"/>
      <c r="L72" s="173"/>
      <c r="M72" s="13"/>
      <c r="N72" s="13"/>
      <c r="O72" s="13"/>
      <c r="P72" s="13"/>
      <c r="Q72" s="173"/>
      <c r="R72" s="175">
        <f>LEN(C72)-SUM((LEN(C72)-LEN(SUBSTITUTE(C72,修饰列表!$B$2:$B$80,修饰列表!$D$2:$D$80))))</f>
        <v>0</v>
      </c>
    </row>
    <row r="73" spans="1:18">
      <c r="A73" s="171"/>
      <c r="B73" s="181"/>
      <c r="C73" s="182"/>
      <c r="D73" s="182"/>
      <c r="E73" s="18"/>
      <c r="F73" s="173"/>
      <c r="G73" s="173"/>
      <c r="H73" s="173"/>
      <c r="I73" s="173"/>
      <c r="J73" s="173"/>
      <c r="K73" s="173"/>
      <c r="L73" s="173"/>
      <c r="M73" s="13"/>
      <c r="N73" s="13"/>
      <c r="O73" s="13"/>
      <c r="P73" s="13"/>
      <c r="Q73" s="173"/>
      <c r="R73" s="175">
        <f>LEN(C73)-SUM((LEN(C73)-LEN(SUBSTITUTE(C73,修饰列表!$B$2:$B$80,修饰列表!$D$2:$D$80))))</f>
        <v>0</v>
      </c>
    </row>
    <row r="74" spans="1:18">
      <c r="A74" s="171"/>
      <c r="B74" s="181"/>
      <c r="C74" s="182"/>
      <c r="D74" s="182"/>
      <c r="E74" s="18"/>
      <c r="F74" s="173"/>
      <c r="G74" s="173"/>
      <c r="H74" s="173"/>
      <c r="I74" s="173"/>
      <c r="J74" s="173"/>
      <c r="K74" s="173"/>
      <c r="L74" s="173"/>
      <c r="M74" s="13"/>
      <c r="N74" s="13"/>
      <c r="O74" s="13"/>
      <c r="P74" s="13"/>
      <c r="Q74" s="173"/>
      <c r="R74" s="175">
        <f>LEN(C74)-SUM((LEN(C74)-LEN(SUBSTITUTE(C74,修饰列表!$B$2:$B$80,修饰列表!$D$2:$D$80))))</f>
        <v>0</v>
      </c>
    </row>
    <row r="75" spans="1:18">
      <c r="A75" s="171"/>
      <c r="B75" s="181"/>
      <c r="C75" s="182"/>
      <c r="D75" s="182"/>
      <c r="E75" s="18"/>
      <c r="F75" s="173"/>
      <c r="G75" s="173"/>
      <c r="H75" s="173"/>
      <c r="I75" s="173"/>
      <c r="J75" s="173"/>
      <c r="K75" s="173"/>
      <c r="L75" s="173"/>
      <c r="M75" s="13"/>
      <c r="N75" s="13"/>
      <c r="O75" s="13"/>
      <c r="P75" s="13"/>
      <c r="Q75" s="173"/>
      <c r="R75" s="175">
        <f>LEN(C75)-SUM((LEN(C75)-LEN(SUBSTITUTE(C75,修饰列表!$B$2:$B$80,修饰列表!$D$2:$D$80))))</f>
        <v>0</v>
      </c>
    </row>
    <row r="76" spans="1:18">
      <c r="A76" s="171"/>
      <c r="B76" s="181"/>
      <c r="C76" s="182"/>
      <c r="D76" s="182"/>
      <c r="E76" s="18"/>
      <c r="F76" s="173"/>
      <c r="G76" s="173"/>
      <c r="H76" s="173"/>
      <c r="I76" s="173"/>
      <c r="J76" s="173"/>
      <c r="K76" s="173"/>
      <c r="L76" s="173"/>
      <c r="M76" s="13"/>
      <c r="N76" s="13"/>
      <c r="O76" s="13"/>
      <c r="P76" s="13"/>
      <c r="Q76" s="173"/>
      <c r="R76" s="175">
        <f>LEN(C76)-SUM((LEN(C76)-LEN(SUBSTITUTE(C76,修饰列表!$B$2:$B$80,修饰列表!$D$2:$D$80))))</f>
        <v>0</v>
      </c>
    </row>
    <row r="77" spans="1:18">
      <c r="A77" s="171"/>
      <c r="B77" s="181"/>
      <c r="C77" s="182"/>
      <c r="D77" s="182"/>
      <c r="E77" s="18"/>
      <c r="F77" s="173"/>
      <c r="G77" s="173"/>
      <c r="H77" s="173"/>
      <c r="I77" s="173"/>
      <c r="J77" s="173"/>
      <c r="K77" s="173"/>
      <c r="L77" s="173"/>
      <c r="M77" s="13"/>
      <c r="N77" s="13"/>
      <c r="O77" s="13"/>
      <c r="P77" s="13"/>
      <c r="Q77" s="173"/>
      <c r="R77" s="175">
        <f>LEN(C77)-SUM((LEN(C77)-LEN(SUBSTITUTE(C77,修饰列表!$B$2:$B$80,修饰列表!$D$2:$D$80))))</f>
        <v>0</v>
      </c>
    </row>
    <row r="78" spans="1:18">
      <c r="A78" s="171"/>
      <c r="B78" s="181"/>
      <c r="C78" s="182"/>
      <c r="D78" s="182"/>
      <c r="E78" s="18"/>
      <c r="F78" s="173"/>
      <c r="G78" s="173"/>
      <c r="H78" s="173"/>
      <c r="I78" s="173"/>
      <c r="J78" s="173"/>
      <c r="K78" s="173"/>
      <c r="L78" s="173"/>
      <c r="M78" s="13"/>
      <c r="N78" s="13"/>
      <c r="O78" s="13"/>
      <c r="P78" s="13"/>
      <c r="Q78" s="173"/>
      <c r="R78" s="175">
        <f>LEN(C78)-SUM((LEN(C78)-LEN(SUBSTITUTE(C78,修饰列表!$B$2:$B$80,修饰列表!$D$2:$D$80))))</f>
        <v>0</v>
      </c>
    </row>
    <row r="79" spans="1:18">
      <c r="A79" s="171"/>
      <c r="B79" s="181"/>
      <c r="C79" s="182"/>
      <c r="D79" s="182"/>
      <c r="E79" s="18"/>
      <c r="F79" s="173"/>
      <c r="G79" s="173"/>
      <c r="H79" s="173"/>
      <c r="I79" s="173"/>
      <c r="J79" s="173"/>
      <c r="K79" s="173"/>
      <c r="L79" s="173"/>
      <c r="M79" s="13"/>
      <c r="N79" s="13"/>
      <c r="O79" s="13"/>
      <c r="P79" s="13"/>
      <c r="Q79" s="173"/>
      <c r="R79" s="175">
        <f>LEN(C79)-SUM((LEN(C79)-LEN(SUBSTITUTE(C79,修饰列表!$B$2:$B$80,修饰列表!$D$2:$D$80))))</f>
        <v>0</v>
      </c>
    </row>
    <row r="80" spans="1:18">
      <c r="A80" s="171"/>
      <c r="B80" s="181"/>
      <c r="C80" s="182"/>
      <c r="D80" s="182"/>
      <c r="E80" s="18"/>
      <c r="F80" s="173"/>
      <c r="G80" s="173"/>
      <c r="H80" s="173"/>
      <c r="I80" s="173"/>
      <c r="J80" s="173"/>
      <c r="K80" s="173"/>
      <c r="L80" s="173"/>
      <c r="M80" s="13"/>
      <c r="N80" s="13"/>
      <c r="O80" s="13"/>
      <c r="P80" s="13"/>
      <c r="Q80" s="173"/>
      <c r="R80" s="175">
        <f>LEN(C80)-SUM((LEN(C80)-LEN(SUBSTITUTE(C80,修饰列表!$B$2:$B$80,修饰列表!$D$2:$D$80))))</f>
        <v>0</v>
      </c>
    </row>
    <row r="81" spans="1:18">
      <c r="A81" s="171"/>
      <c r="B81" s="181"/>
      <c r="C81" s="182"/>
      <c r="D81" s="182"/>
      <c r="E81" s="18"/>
      <c r="F81" s="173"/>
      <c r="G81" s="173"/>
      <c r="H81" s="173"/>
      <c r="I81" s="173"/>
      <c r="J81" s="173"/>
      <c r="K81" s="173"/>
      <c r="L81" s="173"/>
      <c r="M81" s="13"/>
      <c r="N81" s="13"/>
      <c r="O81" s="13"/>
      <c r="P81" s="13"/>
      <c r="Q81" s="173"/>
      <c r="R81" s="175">
        <f t="array" ref="R81">LEN(C81)-SUM((LEN(C81)-LEN(SUBSTITUTE(C81,修饰列表!$B$2:$B$80,修饰列表!$D$2:$D$80))))</f>
        <v>0</v>
      </c>
    </row>
    <row r="82" spans="1:18">
      <c r="A82" s="171"/>
      <c r="B82" s="181"/>
      <c r="C82" s="182"/>
      <c r="D82" s="182"/>
      <c r="E82" s="18"/>
      <c r="F82" s="173"/>
      <c r="G82" s="173"/>
      <c r="H82" s="173"/>
      <c r="I82" s="173"/>
      <c r="J82" s="173"/>
      <c r="K82" s="173"/>
      <c r="L82" s="173"/>
      <c r="M82" s="13"/>
      <c r="N82" s="13"/>
      <c r="O82" s="13"/>
      <c r="P82" s="13"/>
      <c r="Q82" s="173"/>
      <c r="R82" s="175">
        <f t="array" ref="R82">LEN(C82)-SUM((LEN(C82)-LEN(SUBSTITUTE(C82,修饰列表!$B$2:$B$80,修饰列表!$D$2:$D$80))))</f>
        <v>0</v>
      </c>
    </row>
    <row r="83" spans="1:18">
      <c r="A83" s="171"/>
      <c r="B83" s="181"/>
      <c r="C83" s="182"/>
      <c r="D83" s="182"/>
      <c r="E83" s="18"/>
      <c r="F83" s="173"/>
      <c r="G83" s="173"/>
      <c r="H83" s="173"/>
      <c r="I83" s="173"/>
      <c r="J83" s="173"/>
      <c r="K83" s="173"/>
      <c r="L83" s="173"/>
      <c r="M83" s="13"/>
      <c r="N83" s="13"/>
      <c r="O83" s="13"/>
      <c r="P83" s="13"/>
      <c r="Q83" s="173"/>
      <c r="R83" s="175">
        <f t="array" ref="R83">LEN(C83)-SUM((LEN(C83)-LEN(SUBSTITUTE(C83,修饰列表!$B$2:$B$80,修饰列表!$D$2:$D$80))))</f>
        <v>0</v>
      </c>
    </row>
    <row r="84" spans="1:18">
      <c r="A84" s="171"/>
      <c r="B84" s="181"/>
      <c r="C84" s="182"/>
      <c r="D84" s="182"/>
      <c r="E84" s="18"/>
      <c r="F84" s="173"/>
      <c r="G84" s="173"/>
      <c r="H84" s="173"/>
      <c r="I84" s="173"/>
      <c r="J84" s="173"/>
      <c r="K84" s="173"/>
      <c r="L84" s="173"/>
      <c r="M84" s="13"/>
      <c r="N84" s="13"/>
      <c r="O84" s="13"/>
      <c r="P84" s="13"/>
      <c r="Q84" s="173"/>
      <c r="R84" s="175">
        <f t="array" ref="R84">LEN(C84)-SUM((LEN(C84)-LEN(SUBSTITUTE(C84,修饰列表!$B$2:$B$80,修饰列表!$D$2:$D$80))))</f>
        <v>0</v>
      </c>
    </row>
    <row r="85" spans="1:18">
      <c r="A85" s="171"/>
      <c r="B85" s="181"/>
      <c r="C85" s="182"/>
      <c r="D85" s="182"/>
      <c r="E85" s="18"/>
      <c r="F85" s="173"/>
      <c r="G85" s="173"/>
      <c r="H85" s="173"/>
      <c r="I85" s="173"/>
      <c r="J85" s="173"/>
      <c r="K85" s="173"/>
      <c r="L85" s="173"/>
      <c r="M85" s="13"/>
      <c r="N85" s="13"/>
      <c r="O85" s="13"/>
      <c r="P85" s="13"/>
      <c r="Q85" s="173"/>
      <c r="R85" s="175">
        <f t="array" ref="R85">LEN(C85)-SUM((LEN(C85)-LEN(SUBSTITUTE(C85,修饰列表!$B$2:$B$80,修饰列表!$D$2:$D$80))))</f>
        <v>0</v>
      </c>
    </row>
    <row r="86" spans="1:18">
      <c r="A86" s="171"/>
      <c r="B86" s="181"/>
      <c r="C86" s="182"/>
      <c r="D86" s="182"/>
      <c r="E86" s="18"/>
      <c r="F86" s="173"/>
      <c r="G86" s="173"/>
      <c r="H86" s="173"/>
      <c r="I86" s="173"/>
      <c r="J86" s="173"/>
      <c r="K86" s="173"/>
      <c r="L86" s="173"/>
      <c r="M86" s="13"/>
      <c r="N86" s="13"/>
      <c r="O86" s="13"/>
      <c r="P86" s="13"/>
      <c r="Q86" s="173"/>
      <c r="R86" s="175">
        <f t="array" ref="R86">LEN(C86)-SUM((LEN(C86)-LEN(SUBSTITUTE(C86,修饰列表!$B$2:$B$80,修饰列表!$D$2:$D$80))))</f>
        <v>0</v>
      </c>
    </row>
    <row r="87" spans="1:18">
      <c r="A87" s="171"/>
      <c r="B87" s="181"/>
      <c r="C87" s="182"/>
      <c r="D87" s="182"/>
      <c r="E87" s="18"/>
      <c r="F87" s="173"/>
      <c r="G87" s="173"/>
      <c r="H87" s="173"/>
      <c r="I87" s="173"/>
      <c r="J87" s="173"/>
      <c r="K87" s="173"/>
      <c r="L87" s="173"/>
      <c r="M87" s="13"/>
      <c r="N87" s="13"/>
      <c r="O87" s="13"/>
      <c r="P87" s="13"/>
      <c r="Q87" s="173"/>
      <c r="R87" s="175">
        <f t="array" ref="R87">LEN(C87)-SUM((LEN(C87)-LEN(SUBSTITUTE(C87,修饰列表!$B$2:$B$80,修饰列表!$D$2:$D$80))))</f>
        <v>0</v>
      </c>
    </row>
    <row r="88" spans="1:18">
      <c r="A88" s="171"/>
      <c r="B88" s="181"/>
      <c r="C88" s="182"/>
      <c r="D88" s="182"/>
      <c r="E88" s="18"/>
      <c r="F88" s="173"/>
      <c r="G88" s="173"/>
      <c r="H88" s="173"/>
      <c r="I88" s="173"/>
      <c r="J88" s="173"/>
      <c r="K88" s="173"/>
      <c r="L88" s="173"/>
      <c r="M88" s="13"/>
      <c r="N88" s="13"/>
      <c r="O88" s="13"/>
      <c r="P88" s="13"/>
      <c r="Q88" s="173"/>
      <c r="R88" s="175">
        <f t="array" ref="R88">LEN(C88)-SUM((LEN(C88)-LEN(SUBSTITUTE(C88,修饰列表!$B$2:$B$80,修饰列表!$D$2:$D$80))))</f>
        <v>0</v>
      </c>
    </row>
    <row r="89" spans="1:18">
      <c r="A89" s="171"/>
      <c r="B89" s="181"/>
      <c r="C89" s="182"/>
      <c r="D89" s="182"/>
      <c r="E89" s="18"/>
      <c r="F89" s="173"/>
      <c r="G89" s="173"/>
      <c r="H89" s="173"/>
      <c r="I89" s="173"/>
      <c r="J89" s="173"/>
      <c r="K89" s="173"/>
      <c r="L89" s="173"/>
      <c r="M89" s="13"/>
      <c r="N89" s="13"/>
      <c r="O89" s="13"/>
      <c r="P89" s="13"/>
      <c r="Q89" s="173"/>
      <c r="R89" s="175">
        <f t="array" ref="R89">LEN(C89)-SUM((LEN(C89)-LEN(SUBSTITUTE(C89,修饰列表!$B$2:$B$80,修饰列表!$D$2:$D$80))))</f>
        <v>0</v>
      </c>
    </row>
    <row r="90" spans="1:18">
      <c r="A90" s="171"/>
      <c r="B90" s="181"/>
      <c r="C90" s="182"/>
      <c r="D90" s="182"/>
      <c r="E90" s="18"/>
      <c r="F90" s="173"/>
      <c r="G90" s="173"/>
      <c r="H90" s="173"/>
      <c r="I90" s="173"/>
      <c r="J90" s="173"/>
      <c r="K90" s="173"/>
      <c r="L90" s="173"/>
      <c r="M90" s="13"/>
      <c r="N90" s="13"/>
      <c r="O90" s="13"/>
      <c r="P90" s="13"/>
      <c r="Q90" s="173"/>
      <c r="R90" s="175">
        <f t="array" ref="R90">LEN(C90)-SUM((LEN(C90)-LEN(SUBSTITUTE(C90,修饰列表!$B$2:$B$80,修饰列表!$D$2:$D$80))))</f>
        <v>0</v>
      </c>
    </row>
    <row r="91" spans="1:18">
      <c r="A91" s="171"/>
      <c r="B91" s="181"/>
      <c r="C91" s="182"/>
      <c r="D91" s="182"/>
      <c r="E91" s="18"/>
      <c r="F91" s="173"/>
      <c r="G91" s="173"/>
      <c r="H91" s="173"/>
      <c r="I91" s="173"/>
      <c r="J91" s="173"/>
      <c r="K91" s="173"/>
      <c r="L91" s="173"/>
      <c r="M91" s="13"/>
      <c r="N91" s="13"/>
      <c r="O91" s="13"/>
      <c r="P91" s="13"/>
      <c r="Q91" s="173"/>
      <c r="R91" s="175">
        <f t="array" ref="R91">LEN(C91)-SUM((LEN(C91)-LEN(SUBSTITUTE(C91,修饰列表!$B$2:$B$80,修饰列表!$D$2:$D$80))))</f>
        <v>0</v>
      </c>
    </row>
    <row r="92" spans="1:18">
      <c r="A92" s="171"/>
      <c r="B92" s="181"/>
      <c r="C92" s="182"/>
      <c r="D92" s="182"/>
      <c r="E92" s="18"/>
      <c r="F92" s="173"/>
      <c r="G92" s="173"/>
      <c r="H92" s="173"/>
      <c r="I92" s="173"/>
      <c r="J92" s="173"/>
      <c r="K92" s="173"/>
      <c r="L92" s="173"/>
      <c r="M92" s="13"/>
      <c r="N92" s="13"/>
      <c r="O92" s="13"/>
      <c r="P92" s="13"/>
      <c r="Q92" s="173"/>
      <c r="R92" s="175">
        <f t="array" ref="R92">LEN(C92)-SUM((LEN(C92)-LEN(SUBSTITUTE(C92,修饰列表!$B$2:$B$80,修饰列表!$D$2:$D$80))))</f>
        <v>0</v>
      </c>
    </row>
    <row r="93" spans="1:18">
      <c r="A93" s="171"/>
      <c r="B93" s="181"/>
      <c r="C93" s="182"/>
      <c r="D93" s="182"/>
      <c r="E93" s="18"/>
      <c r="F93" s="173"/>
      <c r="G93" s="173"/>
      <c r="H93" s="173"/>
      <c r="I93" s="173"/>
      <c r="J93" s="173"/>
      <c r="K93" s="173"/>
      <c r="L93" s="173"/>
      <c r="M93" s="13"/>
      <c r="N93" s="13"/>
      <c r="O93" s="13"/>
      <c r="P93" s="13"/>
      <c r="Q93" s="173"/>
      <c r="R93" s="175">
        <f t="array" ref="R93">LEN(C93)-SUM((LEN(C93)-LEN(SUBSTITUTE(C93,修饰列表!$B$2:$B$80,修饰列表!$D$2:$D$80))))</f>
        <v>0</v>
      </c>
    </row>
    <row r="94" spans="1:18">
      <c r="A94" s="171"/>
      <c r="B94" s="181"/>
      <c r="C94" s="182"/>
      <c r="D94" s="182"/>
      <c r="E94" s="18"/>
      <c r="F94" s="173"/>
      <c r="G94" s="173"/>
      <c r="H94" s="173"/>
      <c r="I94" s="173"/>
      <c r="J94" s="173"/>
      <c r="K94" s="173"/>
      <c r="L94" s="173"/>
      <c r="M94" s="13"/>
      <c r="N94" s="13"/>
      <c r="O94" s="13"/>
      <c r="P94" s="13"/>
      <c r="Q94" s="173"/>
      <c r="R94" s="175">
        <f t="array" ref="R94">LEN(C94)-SUM((LEN(C94)-LEN(SUBSTITUTE(C94,修饰列表!$B$2:$B$80,修饰列表!$D$2:$D$80))))</f>
        <v>0</v>
      </c>
    </row>
    <row r="95" spans="1:18">
      <c r="A95" s="171"/>
      <c r="B95" s="181"/>
      <c r="C95" s="182"/>
      <c r="D95" s="182"/>
      <c r="E95" s="18"/>
      <c r="F95" s="173"/>
      <c r="G95" s="173"/>
      <c r="H95" s="173"/>
      <c r="I95" s="173"/>
      <c r="J95" s="173"/>
      <c r="K95" s="173"/>
      <c r="L95" s="173"/>
      <c r="M95" s="13"/>
      <c r="N95" s="13"/>
      <c r="O95" s="13"/>
      <c r="P95" s="13"/>
      <c r="Q95" s="173"/>
      <c r="R95" s="175">
        <f t="array" ref="R95">LEN(C95)-SUM((LEN(C95)-LEN(SUBSTITUTE(C95,修饰列表!$B$2:$B$80,修饰列表!$D$2:$D$80))))</f>
        <v>0</v>
      </c>
    </row>
    <row r="96" spans="1:18">
      <c r="A96" s="171"/>
      <c r="B96" s="181"/>
      <c r="C96" s="182"/>
      <c r="D96" s="182"/>
      <c r="E96" s="18"/>
      <c r="F96" s="173"/>
      <c r="G96" s="173"/>
      <c r="H96" s="173"/>
      <c r="I96" s="173"/>
      <c r="J96" s="173"/>
      <c r="K96" s="173"/>
      <c r="L96" s="173"/>
      <c r="M96" s="13"/>
      <c r="N96" s="13"/>
      <c r="O96" s="13"/>
      <c r="P96" s="13"/>
      <c r="Q96" s="173"/>
      <c r="R96" s="175">
        <f t="array" ref="R96">LEN(C96)-SUM((LEN(C96)-LEN(SUBSTITUTE(C96,修饰列表!$B$2:$B$80,修饰列表!$D$2:$D$80))))</f>
        <v>0</v>
      </c>
    </row>
    <row r="97" spans="1:18">
      <c r="A97" s="171"/>
      <c r="B97" s="181"/>
      <c r="C97" s="182"/>
      <c r="D97" s="182"/>
      <c r="E97" s="18"/>
      <c r="F97" s="173"/>
      <c r="G97" s="173"/>
      <c r="H97" s="173"/>
      <c r="I97" s="173"/>
      <c r="J97" s="173"/>
      <c r="K97" s="173"/>
      <c r="L97" s="173"/>
      <c r="M97" s="13"/>
      <c r="N97" s="13"/>
      <c r="O97" s="13"/>
      <c r="P97" s="13"/>
      <c r="Q97" s="173"/>
      <c r="R97" s="175">
        <f t="array" ref="R97">LEN(C97)-SUM((LEN(C97)-LEN(SUBSTITUTE(C97,修饰列表!$B$2:$B$80,修饰列表!$D$2:$D$80))))</f>
        <v>0</v>
      </c>
    </row>
    <row r="98" spans="1:18">
      <c r="A98" s="171"/>
      <c r="B98" s="181"/>
      <c r="C98" s="182"/>
      <c r="D98" s="182"/>
      <c r="E98" s="18"/>
      <c r="F98" s="173"/>
      <c r="G98" s="173"/>
      <c r="H98" s="173"/>
      <c r="I98" s="173"/>
      <c r="J98" s="173"/>
      <c r="K98" s="173"/>
      <c r="L98" s="173"/>
      <c r="M98" s="13"/>
      <c r="N98" s="13"/>
      <c r="O98" s="13"/>
      <c r="P98" s="13"/>
      <c r="Q98" s="173"/>
      <c r="R98" s="175">
        <f t="array" ref="R98">LEN(C98)-SUM((LEN(C98)-LEN(SUBSTITUTE(C98,修饰列表!$B$2:$B$80,修饰列表!$D$2:$D$80))))</f>
        <v>0</v>
      </c>
    </row>
    <row r="99" spans="1:18">
      <c r="A99" s="171"/>
      <c r="B99" s="181"/>
      <c r="C99" s="182"/>
      <c r="D99" s="182"/>
      <c r="E99" s="18"/>
      <c r="F99" s="173"/>
      <c r="G99" s="173"/>
      <c r="H99" s="173"/>
      <c r="I99" s="173"/>
      <c r="J99" s="173"/>
      <c r="K99" s="173"/>
      <c r="L99" s="173"/>
      <c r="M99" s="13"/>
      <c r="N99" s="13"/>
      <c r="O99" s="13"/>
      <c r="P99" s="13"/>
      <c r="Q99" s="173"/>
      <c r="R99" s="175">
        <f t="array" ref="R99">LEN(C99)-SUM((LEN(C99)-LEN(SUBSTITUTE(C99,修饰列表!$B$2:$B$80,修饰列表!$D$2:$D$80))))</f>
        <v>0</v>
      </c>
    </row>
    <row r="100" spans="1:18">
      <c r="A100" s="171"/>
      <c r="B100" s="181"/>
      <c r="C100" s="182"/>
      <c r="D100" s="182"/>
      <c r="E100" s="18"/>
      <c r="F100" s="173"/>
      <c r="G100" s="173"/>
      <c r="H100" s="173"/>
      <c r="I100" s="173"/>
      <c r="J100" s="173"/>
      <c r="K100" s="173"/>
      <c r="L100" s="173"/>
      <c r="M100" s="13"/>
      <c r="N100" s="13"/>
      <c r="O100" s="13"/>
      <c r="P100" s="13"/>
      <c r="Q100" s="173"/>
      <c r="R100" s="175">
        <f t="array" ref="R100">LEN(C100)-SUM((LEN(C100)-LEN(SUBSTITUTE(C100,修饰列表!$B$2:$B$80,修饰列表!$D$2:$D$80))))</f>
        <v>0</v>
      </c>
    </row>
    <row r="101" spans="1:18">
      <c r="A101" s="171"/>
      <c r="B101" s="181"/>
      <c r="C101" s="182"/>
      <c r="D101" s="182"/>
      <c r="E101" s="18"/>
      <c r="F101" s="173"/>
      <c r="G101" s="173"/>
      <c r="H101" s="173"/>
      <c r="I101" s="173"/>
      <c r="J101" s="173"/>
      <c r="K101" s="173"/>
      <c r="L101" s="173"/>
      <c r="M101" s="13"/>
      <c r="N101" s="13"/>
      <c r="O101" s="13"/>
      <c r="P101" s="13"/>
      <c r="Q101" s="173"/>
      <c r="R101" s="175">
        <f t="array" ref="R101">LEN(C101)-SUM((LEN(C101)-LEN(SUBSTITUTE(C101,修饰列表!$B$2:$B$80,修饰列表!$D$2:$D$80))))</f>
        <v>0</v>
      </c>
    </row>
    <row r="102" spans="1:18">
      <c r="A102" s="171"/>
      <c r="B102" s="181"/>
      <c r="C102" s="182"/>
      <c r="D102" s="182"/>
      <c r="E102" s="18"/>
      <c r="F102" s="173"/>
      <c r="G102" s="173"/>
      <c r="H102" s="173"/>
      <c r="I102" s="173"/>
      <c r="J102" s="173"/>
      <c r="K102" s="173"/>
      <c r="L102" s="173"/>
      <c r="M102" s="13"/>
      <c r="N102" s="13"/>
      <c r="O102" s="13"/>
      <c r="P102" s="13"/>
      <c r="Q102" s="173"/>
      <c r="R102" s="175">
        <f t="array" ref="R102">LEN(C102)-SUM((LEN(C102)-LEN(SUBSTITUTE(C102,修饰列表!$B$2:$B$80,修饰列表!$D$2:$D$80))))</f>
        <v>0</v>
      </c>
    </row>
    <row r="103" spans="1:18">
      <c r="A103" s="171"/>
      <c r="B103" s="181"/>
      <c r="C103" s="182"/>
      <c r="D103" s="182"/>
      <c r="E103" s="18"/>
      <c r="F103" s="173"/>
      <c r="G103" s="173"/>
      <c r="H103" s="173"/>
      <c r="I103" s="173"/>
      <c r="J103" s="173"/>
      <c r="K103" s="173"/>
      <c r="L103" s="173"/>
      <c r="M103" s="13"/>
      <c r="N103" s="13"/>
      <c r="O103" s="13"/>
      <c r="P103" s="13"/>
      <c r="Q103" s="173"/>
      <c r="R103" s="175">
        <f t="array" ref="R103">LEN(C103)-SUM((LEN(C103)-LEN(SUBSTITUTE(C103,修饰列表!$B$2:$B$80,修饰列表!$D$2:$D$80))))</f>
        <v>0</v>
      </c>
    </row>
    <row r="104" spans="1:18">
      <c r="A104" s="171"/>
      <c r="B104" s="181"/>
      <c r="C104" s="182"/>
      <c r="D104" s="182"/>
      <c r="E104" s="18"/>
      <c r="F104" s="173"/>
      <c r="G104" s="173"/>
      <c r="H104" s="173"/>
      <c r="I104" s="173"/>
      <c r="J104" s="173"/>
      <c r="K104" s="173"/>
      <c r="L104" s="173"/>
      <c r="M104" s="13"/>
      <c r="N104" s="13"/>
      <c r="O104" s="13"/>
      <c r="P104" s="13"/>
      <c r="Q104" s="173"/>
      <c r="R104" s="175">
        <f t="array" ref="R104">LEN(C104)-SUM((LEN(C104)-LEN(SUBSTITUTE(C104,修饰列表!$B$2:$B$80,修饰列表!$D$2:$D$80))))</f>
        <v>0</v>
      </c>
    </row>
    <row r="105" spans="1:18">
      <c r="A105" s="171"/>
      <c r="B105" s="181"/>
      <c r="C105" s="182"/>
      <c r="D105" s="182"/>
      <c r="E105" s="18"/>
      <c r="F105" s="173"/>
      <c r="G105" s="173"/>
      <c r="H105" s="173"/>
      <c r="I105" s="173"/>
      <c r="J105" s="173"/>
      <c r="K105" s="173"/>
      <c r="L105" s="173"/>
      <c r="M105" s="13"/>
      <c r="N105" s="13"/>
      <c r="O105" s="13"/>
      <c r="P105" s="13"/>
      <c r="Q105" s="173"/>
      <c r="R105" s="175">
        <f t="array" ref="R105">LEN(C105)-SUM((LEN(C105)-LEN(SUBSTITUTE(C105,修饰列表!$B$2:$B$80,修饰列表!$D$2:$D$80))))</f>
        <v>0</v>
      </c>
    </row>
    <row r="106" spans="1:18">
      <c r="A106" s="171"/>
      <c r="B106" s="181"/>
      <c r="C106" s="182"/>
      <c r="D106" s="182"/>
      <c r="E106" s="18"/>
      <c r="F106" s="173"/>
      <c r="G106" s="173"/>
      <c r="H106" s="173"/>
      <c r="I106" s="173"/>
      <c r="J106" s="173"/>
      <c r="K106" s="173"/>
      <c r="L106" s="173"/>
      <c r="M106" s="13"/>
      <c r="N106" s="13"/>
      <c r="O106" s="13"/>
      <c r="P106" s="13"/>
      <c r="Q106" s="173"/>
      <c r="R106" s="175">
        <f t="array" ref="R106">LEN(C106)-SUM((LEN(C106)-LEN(SUBSTITUTE(C106,修饰列表!$B$2:$B$80,修饰列表!$D$2:$D$80))))</f>
        <v>0</v>
      </c>
    </row>
    <row r="107" spans="1:18">
      <c r="A107" s="171"/>
      <c r="B107" s="181"/>
      <c r="C107" s="182"/>
      <c r="D107" s="182"/>
      <c r="E107" s="18"/>
      <c r="F107" s="173"/>
      <c r="G107" s="173"/>
      <c r="H107" s="173"/>
      <c r="I107" s="173"/>
      <c r="J107" s="173"/>
      <c r="K107" s="173"/>
      <c r="L107" s="173"/>
      <c r="M107" s="13"/>
      <c r="N107" s="13"/>
      <c r="O107" s="13"/>
      <c r="P107" s="13"/>
      <c r="Q107" s="173"/>
      <c r="R107" s="175">
        <f t="array" ref="R107">LEN(C107)-SUM((LEN(C107)-LEN(SUBSTITUTE(C107,修饰列表!$B$2:$B$80,修饰列表!$D$2:$D$80))))</f>
        <v>0</v>
      </c>
    </row>
    <row r="108" spans="1:18">
      <c r="A108" s="171"/>
      <c r="B108" s="181"/>
      <c r="C108" s="182"/>
      <c r="D108" s="182"/>
      <c r="E108" s="18"/>
      <c r="F108" s="173"/>
      <c r="G108" s="173"/>
      <c r="H108" s="173"/>
      <c r="I108" s="173"/>
      <c r="J108" s="173"/>
      <c r="K108" s="173"/>
      <c r="L108" s="173"/>
      <c r="M108" s="13"/>
      <c r="N108" s="13"/>
      <c r="O108" s="13"/>
      <c r="P108" s="13"/>
      <c r="Q108" s="173"/>
      <c r="R108" s="175">
        <f t="array" ref="R108">LEN(C108)-SUM((LEN(C108)-LEN(SUBSTITUTE(C108,修饰列表!$B$2:$B$80,修饰列表!$D$2:$D$80))))</f>
        <v>0</v>
      </c>
    </row>
    <row r="109" spans="1:18">
      <c r="A109" s="171"/>
      <c r="B109" s="181"/>
      <c r="C109" s="182"/>
      <c r="D109" s="182"/>
      <c r="E109" s="18"/>
      <c r="F109" s="173"/>
      <c r="G109" s="173"/>
      <c r="H109" s="173"/>
      <c r="I109" s="173"/>
      <c r="J109" s="173"/>
      <c r="K109" s="173"/>
      <c r="L109" s="173"/>
      <c r="M109" s="13"/>
      <c r="N109" s="13"/>
      <c r="O109" s="13"/>
      <c r="P109" s="13"/>
      <c r="Q109" s="173"/>
      <c r="R109" s="175">
        <f t="array" ref="R109">LEN(C109)-SUM((LEN(C109)-LEN(SUBSTITUTE(C109,修饰列表!$B$2:$B$80,修饰列表!$D$2:$D$80))))</f>
        <v>0</v>
      </c>
    </row>
    <row r="110" spans="1:18">
      <c r="A110" s="171"/>
      <c r="B110" s="181"/>
      <c r="C110" s="182"/>
      <c r="D110" s="182"/>
      <c r="E110" s="18"/>
      <c r="F110" s="173"/>
      <c r="G110" s="173"/>
      <c r="H110" s="173"/>
      <c r="I110" s="173"/>
      <c r="J110" s="173"/>
      <c r="K110" s="173"/>
      <c r="L110" s="173"/>
      <c r="M110" s="13"/>
      <c r="N110" s="13"/>
      <c r="O110" s="13"/>
      <c r="P110" s="13"/>
      <c r="Q110" s="173"/>
      <c r="R110" s="175">
        <f t="array" ref="R110">LEN(C110)-SUM((LEN(C110)-LEN(SUBSTITUTE(C110,修饰列表!$B$2:$B$80,修饰列表!$D$2:$D$80))))</f>
        <v>0</v>
      </c>
    </row>
    <row r="111" spans="1:18">
      <c r="A111" s="171"/>
      <c r="B111" s="181"/>
      <c r="C111" s="182"/>
      <c r="D111" s="182"/>
      <c r="E111" s="18"/>
      <c r="F111" s="173"/>
      <c r="G111" s="173"/>
      <c r="H111" s="173"/>
      <c r="I111" s="173"/>
      <c r="J111" s="173"/>
      <c r="K111" s="173"/>
      <c r="L111" s="173"/>
      <c r="M111" s="13"/>
      <c r="N111" s="13"/>
      <c r="O111" s="13"/>
      <c r="P111" s="13"/>
      <c r="Q111" s="173"/>
      <c r="R111" s="175">
        <f t="array" ref="R111">LEN(C111)-SUM((LEN(C111)-LEN(SUBSTITUTE(C111,修饰列表!$B$2:$B$80,修饰列表!$D$2:$D$80))))</f>
        <v>0</v>
      </c>
    </row>
    <row r="112" spans="1:18">
      <c r="A112" s="171"/>
      <c r="B112" s="181"/>
      <c r="C112" s="182"/>
      <c r="D112" s="182"/>
      <c r="E112" s="18"/>
      <c r="F112" s="173"/>
      <c r="G112" s="173"/>
      <c r="H112" s="173"/>
      <c r="I112" s="173"/>
      <c r="J112" s="173"/>
      <c r="K112" s="173"/>
      <c r="L112" s="173"/>
      <c r="M112" s="13"/>
      <c r="N112" s="13"/>
      <c r="O112" s="13"/>
      <c r="P112" s="13"/>
      <c r="Q112" s="173"/>
      <c r="R112" s="175">
        <f t="array" ref="R112">LEN(C112)-SUM((LEN(C112)-LEN(SUBSTITUTE(C112,修饰列表!$B$2:$B$80,修饰列表!$D$2:$D$80))))</f>
        <v>0</v>
      </c>
    </row>
    <row r="113" spans="1:18">
      <c r="A113" s="171"/>
      <c r="B113" s="181"/>
      <c r="C113" s="182"/>
      <c r="D113" s="182"/>
      <c r="E113" s="18"/>
      <c r="F113" s="173"/>
      <c r="G113" s="173"/>
      <c r="H113" s="173"/>
      <c r="I113" s="173"/>
      <c r="J113" s="173"/>
      <c r="K113" s="173"/>
      <c r="L113" s="173"/>
      <c r="M113" s="13"/>
      <c r="N113" s="13"/>
      <c r="O113" s="13"/>
      <c r="P113" s="13"/>
      <c r="Q113" s="173"/>
      <c r="R113" s="175">
        <f t="array" ref="R113">LEN(C113)-SUM((LEN(C113)-LEN(SUBSTITUTE(C113,修饰列表!$B$2:$B$80,修饰列表!$D$2:$D$80))))</f>
        <v>0</v>
      </c>
    </row>
    <row r="114" spans="1:18">
      <c r="A114" s="171"/>
      <c r="B114" s="181"/>
      <c r="C114" s="182"/>
      <c r="D114" s="182"/>
      <c r="E114" s="18"/>
      <c r="F114" s="173"/>
      <c r="G114" s="173"/>
      <c r="H114" s="173"/>
      <c r="I114" s="173"/>
      <c r="J114" s="173"/>
      <c r="K114" s="173"/>
      <c r="L114" s="173"/>
      <c r="M114" s="13"/>
      <c r="N114" s="13"/>
      <c r="O114" s="13"/>
      <c r="P114" s="13"/>
      <c r="Q114" s="173"/>
      <c r="R114" s="175">
        <f t="array" ref="R114">LEN(C114)-SUM((LEN(C114)-LEN(SUBSTITUTE(C114,修饰列表!$B$2:$B$80,修饰列表!$D$2:$D$80))))</f>
        <v>0</v>
      </c>
    </row>
    <row r="115" spans="1:18">
      <c r="A115" s="171"/>
      <c r="B115" s="181"/>
      <c r="C115" s="182"/>
      <c r="D115" s="182"/>
      <c r="E115" s="18"/>
      <c r="F115" s="173"/>
      <c r="G115" s="173"/>
      <c r="H115" s="173"/>
      <c r="I115" s="173"/>
      <c r="J115" s="173"/>
      <c r="K115" s="173"/>
      <c r="L115" s="173"/>
      <c r="M115" s="13"/>
      <c r="N115" s="13"/>
      <c r="O115" s="13"/>
      <c r="P115" s="13"/>
      <c r="Q115" s="173"/>
      <c r="R115" s="175">
        <f t="array" ref="R115">LEN(C115)-SUM((LEN(C115)-LEN(SUBSTITUTE(C115,修饰列表!$B$2:$B$80,修饰列表!$D$2:$D$80))))</f>
        <v>0</v>
      </c>
    </row>
    <row r="116" spans="1:18">
      <c r="A116" s="171"/>
      <c r="B116" s="181"/>
      <c r="C116" s="182"/>
      <c r="D116" s="182"/>
      <c r="E116" s="18"/>
      <c r="F116" s="173"/>
      <c r="G116" s="173"/>
      <c r="H116" s="173"/>
      <c r="I116" s="173"/>
      <c r="J116" s="173"/>
      <c r="K116" s="173"/>
      <c r="L116" s="173"/>
      <c r="M116" s="13"/>
      <c r="N116" s="13"/>
      <c r="O116" s="13"/>
      <c r="P116" s="13"/>
      <c r="Q116" s="173"/>
      <c r="R116" s="175">
        <f t="array" ref="R116">LEN(C116)-SUM((LEN(C116)-LEN(SUBSTITUTE(C116,修饰列表!$B$2:$B$80,修饰列表!$D$2:$D$80))))</f>
        <v>0</v>
      </c>
    </row>
    <row r="117" spans="1:18">
      <c r="A117" s="171"/>
      <c r="B117" s="181"/>
      <c r="C117" s="182"/>
      <c r="D117" s="182"/>
      <c r="E117" s="18"/>
      <c r="F117" s="173"/>
      <c r="G117" s="173"/>
      <c r="H117" s="173"/>
      <c r="I117" s="173"/>
      <c r="J117" s="173"/>
      <c r="K117" s="173"/>
      <c r="L117" s="173"/>
      <c r="M117" s="13"/>
      <c r="N117" s="13"/>
      <c r="O117" s="13"/>
      <c r="P117" s="13"/>
      <c r="Q117" s="173"/>
      <c r="R117" s="175">
        <f t="array" ref="R117">LEN(C117)-SUM((LEN(C117)-LEN(SUBSTITUTE(C117,修饰列表!$B$2:$B$80,修饰列表!$D$2:$D$80))))</f>
        <v>0</v>
      </c>
    </row>
    <row r="118" spans="1:18">
      <c r="A118" s="171"/>
      <c r="B118" s="181"/>
      <c r="C118" s="182"/>
      <c r="D118" s="182"/>
      <c r="E118" s="18"/>
      <c r="F118" s="173"/>
      <c r="G118" s="173"/>
      <c r="H118" s="173"/>
      <c r="I118" s="173"/>
      <c r="J118" s="173"/>
      <c r="K118" s="173"/>
      <c r="L118" s="173"/>
      <c r="M118" s="13"/>
      <c r="N118" s="13"/>
      <c r="O118" s="13"/>
      <c r="P118" s="13"/>
      <c r="Q118" s="173"/>
      <c r="R118" s="175">
        <f t="array" ref="R118">LEN(C118)-SUM((LEN(C118)-LEN(SUBSTITUTE(C118,修饰列表!$B$2:$B$80,修饰列表!$D$2:$D$80))))</f>
        <v>0</v>
      </c>
    </row>
    <row r="119" spans="1:18">
      <c r="A119" s="171"/>
      <c r="B119" s="181"/>
      <c r="C119" s="182"/>
      <c r="D119" s="182"/>
      <c r="E119" s="18"/>
      <c r="F119" s="173"/>
      <c r="G119" s="173"/>
      <c r="H119" s="173"/>
      <c r="I119" s="173"/>
      <c r="J119" s="173"/>
      <c r="K119" s="173"/>
      <c r="L119" s="173"/>
      <c r="M119" s="13"/>
      <c r="N119" s="13"/>
      <c r="O119" s="13"/>
      <c r="P119" s="13"/>
      <c r="Q119" s="173"/>
      <c r="R119" s="175">
        <f t="array" ref="R119">LEN(C119)-SUM((LEN(C119)-LEN(SUBSTITUTE(C119,修饰列表!$B$2:$B$80,修饰列表!$D$2:$D$80))))</f>
        <v>0</v>
      </c>
    </row>
    <row r="120" spans="1:18">
      <c r="A120" s="171"/>
      <c r="B120" s="181"/>
      <c r="C120" s="182"/>
      <c r="D120" s="182"/>
      <c r="E120" s="18"/>
      <c r="F120" s="173"/>
      <c r="G120" s="173"/>
      <c r="H120" s="173"/>
      <c r="I120" s="173"/>
      <c r="J120" s="173"/>
      <c r="K120" s="173"/>
      <c r="L120" s="173"/>
      <c r="M120" s="13"/>
      <c r="N120" s="13"/>
      <c r="O120" s="13"/>
      <c r="P120" s="13"/>
      <c r="Q120" s="173"/>
      <c r="R120" s="175">
        <f t="array" ref="R120">LEN(C120)-SUM((LEN(C120)-LEN(SUBSTITUTE(C120,修饰列表!$B$2:$B$80,修饰列表!$D$2:$D$80))))</f>
        <v>0</v>
      </c>
    </row>
    <row r="121" spans="1:18">
      <c r="A121" s="171"/>
      <c r="B121" s="181"/>
      <c r="C121" s="182"/>
      <c r="D121" s="182"/>
      <c r="E121" s="18"/>
      <c r="F121" s="173"/>
      <c r="G121" s="173"/>
      <c r="H121" s="173"/>
      <c r="I121" s="173"/>
      <c r="J121" s="173"/>
      <c r="K121" s="173"/>
      <c r="L121" s="173"/>
      <c r="M121" s="13"/>
      <c r="N121" s="13"/>
      <c r="O121" s="13"/>
      <c r="P121" s="13"/>
      <c r="Q121" s="173"/>
      <c r="R121" s="175">
        <f t="array" ref="R121">LEN(C121)-SUM((LEN(C121)-LEN(SUBSTITUTE(C121,修饰列表!$B$2:$B$80,修饰列表!$D$2:$D$80))))</f>
        <v>0</v>
      </c>
    </row>
    <row r="122" spans="1:18">
      <c r="A122" s="171"/>
      <c r="B122" s="181"/>
      <c r="C122" s="182"/>
      <c r="D122" s="182"/>
      <c r="E122" s="18"/>
      <c r="F122" s="173"/>
      <c r="G122" s="173"/>
      <c r="H122" s="173"/>
      <c r="I122" s="173"/>
      <c r="J122" s="173"/>
      <c r="K122" s="173"/>
      <c r="L122" s="173"/>
      <c r="M122" s="13"/>
      <c r="N122" s="13"/>
      <c r="O122" s="13"/>
      <c r="P122" s="13"/>
      <c r="Q122" s="173"/>
      <c r="R122" s="175">
        <f t="array" ref="R122">LEN(C122)-SUM((LEN(C122)-LEN(SUBSTITUTE(C122,修饰列表!$B$2:$B$80,修饰列表!$D$2:$D$80))))</f>
        <v>0</v>
      </c>
    </row>
    <row r="123" spans="1:18">
      <c r="A123" s="171"/>
      <c r="B123" s="181"/>
      <c r="C123" s="182"/>
      <c r="D123" s="182"/>
      <c r="E123" s="18"/>
      <c r="F123" s="173"/>
      <c r="G123" s="173"/>
      <c r="H123" s="173"/>
      <c r="I123" s="173"/>
      <c r="J123" s="173"/>
      <c r="K123" s="173"/>
      <c r="L123" s="173"/>
      <c r="M123" s="13"/>
      <c r="N123" s="13"/>
      <c r="O123" s="13"/>
      <c r="P123" s="13"/>
      <c r="Q123" s="173"/>
      <c r="R123" s="175">
        <f t="array" ref="R123">LEN(C123)-SUM((LEN(C123)-LEN(SUBSTITUTE(C123,修饰列表!$B$2:$B$80,修饰列表!$D$2:$D$80))))</f>
        <v>0</v>
      </c>
    </row>
    <row r="124" spans="1:18">
      <c r="A124" s="171"/>
      <c r="B124" s="181"/>
      <c r="C124" s="182"/>
      <c r="D124" s="182"/>
      <c r="E124" s="18"/>
      <c r="F124" s="173"/>
      <c r="G124" s="173"/>
      <c r="H124" s="173"/>
      <c r="I124" s="173"/>
      <c r="J124" s="173"/>
      <c r="K124" s="173"/>
      <c r="L124" s="173"/>
      <c r="M124" s="13"/>
      <c r="N124" s="13"/>
      <c r="O124" s="13"/>
      <c r="P124" s="13"/>
      <c r="Q124" s="173"/>
      <c r="R124" s="175">
        <f t="array" ref="R124">LEN(C124)-SUM((LEN(C124)-LEN(SUBSTITUTE(C124,修饰列表!$B$2:$B$80,修饰列表!$D$2:$D$80))))</f>
        <v>0</v>
      </c>
    </row>
    <row r="125" spans="1:18">
      <c r="A125" s="171"/>
      <c r="B125" s="181"/>
      <c r="C125" s="182"/>
      <c r="D125" s="182"/>
      <c r="E125" s="18"/>
      <c r="F125" s="173"/>
      <c r="G125" s="173"/>
      <c r="H125" s="173"/>
      <c r="I125" s="173"/>
      <c r="J125" s="173"/>
      <c r="K125" s="173"/>
      <c r="L125" s="173"/>
      <c r="M125" s="13"/>
      <c r="N125" s="13"/>
      <c r="O125" s="13"/>
      <c r="P125" s="13"/>
      <c r="Q125" s="173"/>
      <c r="R125" s="175">
        <f t="array" ref="R125">LEN(C125)-SUM((LEN(C125)-LEN(SUBSTITUTE(C125,修饰列表!$B$2:$B$80,修饰列表!$D$2:$D$80))))</f>
        <v>0</v>
      </c>
    </row>
    <row r="126" spans="1:18">
      <c r="A126" s="171"/>
      <c r="B126" s="181"/>
      <c r="C126" s="182"/>
      <c r="D126" s="182"/>
      <c r="E126" s="18"/>
      <c r="F126" s="173"/>
      <c r="G126" s="173"/>
      <c r="H126" s="173"/>
      <c r="I126" s="173"/>
      <c r="J126" s="173"/>
      <c r="K126" s="173"/>
      <c r="L126" s="173"/>
      <c r="M126" s="13"/>
      <c r="N126" s="13"/>
      <c r="O126" s="13"/>
      <c r="P126" s="13"/>
      <c r="Q126" s="173"/>
      <c r="R126" s="175">
        <f t="array" ref="R126">LEN(C126)-SUM((LEN(C126)-LEN(SUBSTITUTE(C126,修饰列表!$B$2:$B$80,修饰列表!$D$2:$D$80))))</f>
        <v>0</v>
      </c>
    </row>
    <row r="127" spans="1:18">
      <c r="A127" s="171"/>
      <c r="B127" s="181"/>
      <c r="C127" s="182"/>
      <c r="D127" s="182"/>
      <c r="E127" s="18"/>
      <c r="F127" s="173"/>
      <c r="G127" s="173"/>
      <c r="H127" s="173"/>
      <c r="I127" s="173"/>
      <c r="J127" s="173"/>
      <c r="K127" s="173"/>
      <c r="L127" s="173"/>
      <c r="M127" s="13"/>
      <c r="N127" s="13"/>
      <c r="O127" s="13"/>
      <c r="P127" s="13"/>
      <c r="Q127" s="173"/>
      <c r="R127" s="175">
        <f t="array" ref="R127">LEN(C127)-SUM((LEN(C127)-LEN(SUBSTITUTE(C127,修饰列表!$B$2:$B$80,修饰列表!$D$2:$D$80))))</f>
        <v>0</v>
      </c>
    </row>
    <row r="128" spans="1:18">
      <c r="A128" s="171"/>
      <c r="B128" s="181"/>
      <c r="C128" s="182"/>
      <c r="D128" s="182"/>
      <c r="E128" s="18"/>
      <c r="F128" s="173"/>
      <c r="G128" s="173"/>
      <c r="H128" s="173"/>
      <c r="I128" s="173"/>
      <c r="J128" s="173"/>
      <c r="K128" s="173"/>
      <c r="L128" s="173"/>
      <c r="M128" s="13"/>
      <c r="N128" s="13"/>
      <c r="O128" s="13"/>
      <c r="P128" s="13"/>
      <c r="Q128" s="173"/>
      <c r="R128" s="175">
        <f t="array" ref="R128">LEN(C128)-SUM((LEN(C128)-LEN(SUBSTITUTE(C128,修饰列表!$B$2:$B$80,修饰列表!$D$2:$D$80))))</f>
        <v>0</v>
      </c>
    </row>
    <row r="129" spans="1:18">
      <c r="A129" s="171"/>
      <c r="B129" s="181"/>
      <c r="C129" s="182"/>
      <c r="D129" s="182"/>
      <c r="E129" s="18"/>
      <c r="F129" s="173"/>
      <c r="G129" s="173"/>
      <c r="H129" s="173"/>
      <c r="I129" s="173"/>
      <c r="J129" s="173"/>
      <c r="K129" s="173"/>
      <c r="L129" s="173"/>
      <c r="M129" s="13"/>
      <c r="N129" s="13"/>
      <c r="O129" s="13"/>
      <c r="P129" s="13"/>
      <c r="Q129" s="173"/>
      <c r="R129" s="175">
        <f t="array" ref="R129">LEN(C129)-SUM((LEN(C129)-LEN(SUBSTITUTE(C129,修饰列表!$B$2:$B$80,修饰列表!$D$2:$D$80))))</f>
        <v>0</v>
      </c>
    </row>
    <row r="130" spans="1:18">
      <c r="A130" s="171"/>
      <c r="B130" s="181"/>
      <c r="C130" s="182"/>
      <c r="D130" s="182"/>
      <c r="E130" s="18"/>
      <c r="F130" s="173"/>
      <c r="G130" s="173"/>
      <c r="H130" s="173"/>
      <c r="I130" s="173"/>
      <c r="J130" s="173"/>
      <c r="K130" s="173"/>
      <c r="L130" s="173"/>
      <c r="M130" s="13"/>
      <c r="N130" s="13"/>
      <c r="O130" s="13"/>
      <c r="P130" s="13"/>
      <c r="Q130" s="173"/>
      <c r="R130" s="175">
        <f t="array" ref="R130">LEN(C130)-SUM((LEN(C130)-LEN(SUBSTITUTE(C130,修饰列表!$B$2:$B$80,修饰列表!$D$2:$D$80))))</f>
        <v>0</v>
      </c>
    </row>
    <row r="131" spans="1:18">
      <c r="A131" s="171"/>
      <c r="B131" s="181"/>
      <c r="C131" s="182"/>
      <c r="D131" s="182"/>
      <c r="E131" s="18"/>
      <c r="F131" s="173"/>
      <c r="G131" s="173"/>
      <c r="H131" s="173"/>
      <c r="I131" s="173"/>
      <c r="J131" s="173"/>
      <c r="K131" s="173"/>
      <c r="L131" s="173"/>
      <c r="M131" s="13"/>
      <c r="N131" s="13"/>
      <c r="O131" s="13"/>
      <c r="P131" s="13"/>
      <c r="Q131" s="173"/>
      <c r="R131" s="175">
        <f t="array" ref="R131">LEN(C131)-SUM((LEN(C131)-LEN(SUBSTITUTE(C131,修饰列表!$B$2:$B$80,修饰列表!$D$2:$D$80))))</f>
        <v>0</v>
      </c>
    </row>
    <row r="132" spans="1:18">
      <c r="A132" s="171"/>
      <c r="B132" s="181"/>
      <c r="C132" s="182"/>
      <c r="D132" s="182"/>
      <c r="E132" s="18"/>
      <c r="F132" s="173"/>
      <c r="G132" s="173"/>
      <c r="H132" s="173"/>
      <c r="I132" s="173"/>
      <c r="J132" s="173"/>
      <c r="K132" s="173"/>
      <c r="L132" s="173"/>
      <c r="M132" s="13"/>
      <c r="N132" s="13"/>
      <c r="O132" s="13"/>
      <c r="P132" s="13"/>
      <c r="Q132" s="173"/>
      <c r="R132" s="175">
        <f t="array" ref="R132">LEN(C132)-SUM((LEN(C132)-LEN(SUBSTITUTE(C132,修饰列表!$B$2:$B$80,修饰列表!$D$2:$D$80))))</f>
        <v>0</v>
      </c>
    </row>
    <row r="133" spans="1:18">
      <c r="A133" s="171"/>
      <c r="B133" s="181"/>
      <c r="C133" s="182"/>
      <c r="D133" s="182"/>
      <c r="E133" s="18"/>
      <c r="F133" s="173"/>
      <c r="G133" s="173"/>
      <c r="H133" s="173"/>
      <c r="I133" s="173"/>
      <c r="J133" s="173"/>
      <c r="K133" s="173"/>
      <c r="L133" s="173"/>
      <c r="M133" s="13"/>
      <c r="N133" s="13"/>
      <c r="O133" s="13"/>
      <c r="P133" s="13"/>
      <c r="Q133" s="173"/>
      <c r="R133" s="175">
        <f t="array" ref="R133">LEN(C133)-SUM((LEN(C133)-LEN(SUBSTITUTE(C133,修饰列表!$B$2:$B$80,修饰列表!$D$2:$D$80))))</f>
        <v>0</v>
      </c>
    </row>
    <row r="134" spans="1:18">
      <c r="A134" s="171"/>
      <c r="B134" s="181"/>
      <c r="C134" s="182"/>
      <c r="D134" s="182"/>
      <c r="E134" s="18"/>
      <c r="F134" s="173"/>
      <c r="G134" s="173"/>
      <c r="H134" s="173"/>
      <c r="I134" s="173"/>
      <c r="J134" s="173"/>
      <c r="K134" s="173"/>
      <c r="L134" s="173"/>
      <c r="M134" s="13"/>
      <c r="N134" s="13"/>
      <c r="O134" s="13"/>
      <c r="P134" s="13"/>
      <c r="Q134" s="173"/>
      <c r="R134" s="175">
        <f t="array" ref="R134">LEN(C134)-SUM((LEN(C134)-LEN(SUBSTITUTE(C134,修饰列表!$B$2:$B$80,修饰列表!$D$2:$D$80))))</f>
        <v>0</v>
      </c>
    </row>
    <row r="135" spans="1:18">
      <c r="A135" s="171"/>
      <c r="B135" s="181"/>
      <c r="C135" s="182"/>
      <c r="D135" s="182"/>
      <c r="E135" s="18"/>
      <c r="F135" s="173"/>
      <c r="G135" s="173"/>
      <c r="H135" s="173"/>
      <c r="I135" s="173"/>
      <c r="J135" s="173"/>
      <c r="K135" s="173"/>
      <c r="L135" s="173"/>
      <c r="M135" s="13"/>
      <c r="N135" s="13"/>
      <c r="O135" s="13"/>
      <c r="P135" s="13"/>
      <c r="Q135" s="173"/>
      <c r="R135" s="175">
        <f t="array" ref="R135">LEN(C135)-SUM((LEN(C135)-LEN(SUBSTITUTE(C135,修饰列表!$B$2:$B$80,修饰列表!$D$2:$D$80))))</f>
        <v>0</v>
      </c>
    </row>
    <row r="136" spans="1:18">
      <c r="A136" s="171"/>
      <c r="B136" s="181"/>
      <c r="C136" s="182"/>
      <c r="D136" s="182"/>
      <c r="E136" s="18"/>
      <c r="F136" s="173"/>
      <c r="G136" s="173"/>
      <c r="H136" s="173"/>
      <c r="I136" s="173"/>
      <c r="J136" s="173"/>
      <c r="K136" s="173"/>
      <c r="L136" s="173"/>
      <c r="M136" s="13"/>
      <c r="N136" s="13"/>
      <c r="O136" s="13"/>
      <c r="P136" s="13"/>
      <c r="Q136" s="173"/>
      <c r="R136" s="175">
        <f t="array" ref="R136">LEN(C136)-SUM((LEN(C136)-LEN(SUBSTITUTE(C136,修饰列表!$B$2:$B$80,修饰列表!$D$2:$D$80))))</f>
        <v>0</v>
      </c>
    </row>
    <row r="137" spans="1:18">
      <c r="A137" s="171"/>
      <c r="B137" s="181"/>
      <c r="C137" s="182"/>
      <c r="D137" s="182"/>
      <c r="E137" s="18"/>
      <c r="F137" s="173"/>
      <c r="G137" s="173"/>
      <c r="H137" s="173"/>
      <c r="I137" s="173"/>
      <c r="J137" s="173"/>
      <c r="K137" s="173"/>
      <c r="L137" s="173"/>
      <c r="M137" s="13"/>
      <c r="N137" s="13"/>
      <c r="O137" s="13"/>
      <c r="P137" s="13"/>
      <c r="Q137" s="173"/>
      <c r="R137" s="175">
        <f t="array" ref="R137">LEN(C137)-SUM((LEN(C137)-LEN(SUBSTITUTE(C137,修饰列表!$B$2:$B$80,修饰列表!$D$2:$D$80))))</f>
        <v>0</v>
      </c>
    </row>
    <row r="138" spans="1:18">
      <c r="A138" s="171"/>
      <c r="B138" s="181"/>
      <c r="C138" s="182"/>
      <c r="D138" s="182"/>
      <c r="E138" s="18"/>
      <c r="F138" s="173"/>
      <c r="G138" s="173"/>
      <c r="H138" s="173"/>
      <c r="I138" s="173"/>
      <c r="J138" s="173"/>
      <c r="K138" s="173"/>
      <c r="L138" s="173"/>
      <c r="M138" s="13"/>
      <c r="N138" s="13"/>
      <c r="O138" s="13"/>
      <c r="P138" s="13"/>
      <c r="Q138" s="173"/>
      <c r="R138" s="175">
        <f t="array" ref="R138">LEN(C138)-SUM((LEN(C138)-LEN(SUBSTITUTE(C138,修饰列表!$B$2:$B$80,修饰列表!$D$2:$D$80))))</f>
        <v>0</v>
      </c>
    </row>
    <row r="139" spans="1:18">
      <c r="A139" s="171"/>
      <c r="B139" s="181"/>
      <c r="C139" s="182"/>
      <c r="D139" s="182"/>
      <c r="E139" s="18"/>
      <c r="F139" s="173"/>
      <c r="G139" s="173"/>
      <c r="H139" s="173"/>
      <c r="I139" s="173"/>
      <c r="J139" s="173"/>
      <c r="K139" s="173"/>
      <c r="L139" s="173"/>
      <c r="M139" s="13"/>
      <c r="N139" s="13"/>
      <c r="O139" s="13"/>
      <c r="P139" s="13"/>
      <c r="Q139" s="173"/>
      <c r="R139" s="175">
        <f t="array" ref="R139">LEN(C139)-SUM((LEN(C139)-LEN(SUBSTITUTE(C139,修饰列表!$B$2:$B$80,修饰列表!$D$2:$D$80))))</f>
        <v>0</v>
      </c>
    </row>
    <row r="140" spans="1:18">
      <c r="A140" s="171"/>
      <c r="B140" s="181"/>
      <c r="C140" s="182"/>
      <c r="D140" s="182"/>
      <c r="E140" s="18"/>
      <c r="F140" s="173"/>
      <c r="G140" s="173"/>
      <c r="H140" s="173"/>
      <c r="I140" s="173"/>
      <c r="J140" s="173"/>
      <c r="K140" s="173"/>
      <c r="L140" s="173"/>
      <c r="M140" s="13"/>
      <c r="N140" s="13"/>
      <c r="O140" s="13"/>
      <c r="P140" s="13"/>
      <c r="Q140" s="173"/>
      <c r="R140" s="175">
        <f t="array" ref="R140">LEN(C140)-SUM((LEN(C140)-LEN(SUBSTITUTE(C140,修饰列表!$B$2:$B$80,修饰列表!$D$2:$D$80))))</f>
        <v>0</v>
      </c>
    </row>
    <row r="141" spans="1:18">
      <c r="A141" s="171"/>
      <c r="B141" s="181"/>
      <c r="C141" s="182"/>
      <c r="D141" s="182"/>
      <c r="E141" s="18"/>
      <c r="F141" s="173"/>
      <c r="G141" s="173"/>
      <c r="H141" s="173"/>
      <c r="I141" s="173"/>
      <c r="J141" s="173"/>
      <c r="K141" s="173"/>
      <c r="L141" s="173"/>
      <c r="M141" s="13"/>
      <c r="N141" s="13"/>
      <c r="O141" s="13"/>
      <c r="P141" s="13"/>
      <c r="Q141" s="173"/>
      <c r="R141" s="175">
        <f t="array" ref="R141">LEN(C141)-SUM((LEN(C141)-LEN(SUBSTITUTE(C141,修饰列表!$B$2:$B$80,修饰列表!$D$2:$D$80))))</f>
        <v>0</v>
      </c>
    </row>
    <row r="142" spans="1:18">
      <c r="A142" s="171"/>
      <c r="B142" s="181"/>
      <c r="C142" s="182"/>
      <c r="D142" s="182"/>
      <c r="E142" s="18"/>
      <c r="F142" s="173"/>
      <c r="G142" s="173"/>
      <c r="H142" s="173"/>
      <c r="I142" s="173"/>
      <c r="J142" s="173"/>
      <c r="K142" s="173"/>
      <c r="L142" s="173"/>
      <c r="M142" s="13"/>
      <c r="N142" s="13"/>
      <c r="O142" s="13"/>
      <c r="P142" s="13"/>
      <c r="Q142" s="173"/>
      <c r="R142" s="175">
        <f t="array" ref="R142">LEN(C142)-SUM((LEN(C142)-LEN(SUBSTITUTE(C142,修饰列表!$B$2:$B$80,修饰列表!$D$2:$D$80))))</f>
        <v>0</v>
      </c>
    </row>
    <row r="143" spans="1:18">
      <c r="A143" s="171"/>
      <c r="B143" s="181"/>
      <c r="C143" s="182"/>
      <c r="D143" s="182"/>
      <c r="E143" s="18"/>
      <c r="F143" s="173"/>
      <c r="G143" s="173"/>
      <c r="H143" s="173"/>
      <c r="I143" s="173"/>
      <c r="J143" s="173"/>
      <c r="K143" s="173"/>
      <c r="L143" s="173"/>
      <c r="M143" s="13"/>
      <c r="N143" s="13"/>
      <c r="O143" s="13"/>
      <c r="P143" s="13"/>
      <c r="Q143" s="173"/>
      <c r="R143" s="175">
        <f t="array" ref="R143">LEN(C143)-SUM((LEN(C143)-LEN(SUBSTITUTE(C143,修饰列表!$B$2:$B$80,修饰列表!$D$2:$D$80))))</f>
        <v>0</v>
      </c>
    </row>
    <row r="144" spans="1:18">
      <c r="A144" s="171"/>
      <c r="B144" s="181"/>
      <c r="C144" s="182"/>
      <c r="D144" s="182"/>
      <c r="E144" s="18"/>
      <c r="F144" s="173"/>
      <c r="G144" s="173"/>
      <c r="H144" s="173"/>
      <c r="I144" s="173"/>
      <c r="J144" s="173"/>
      <c r="K144" s="173"/>
      <c r="L144" s="173"/>
      <c r="M144" s="13"/>
      <c r="N144" s="13"/>
      <c r="O144" s="13"/>
      <c r="P144" s="13"/>
      <c r="Q144" s="173"/>
      <c r="R144" s="175">
        <f t="array" ref="R144">LEN(C144)-SUM((LEN(C144)-LEN(SUBSTITUTE(C144,修饰列表!$B$2:$B$80,修饰列表!$D$2:$D$80))))</f>
        <v>0</v>
      </c>
    </row>
    <row r="145" spans="1:18">
      <c r="A145" s="171"/>
      <c r="B145" s="181"/>
      <c r="C145" s="182"/>
      <c r="D145" s="182"/>
      <c r="E145" s="18"/>
      <c r="F145" s="173"/>
      <c r="G145" s="173"/>
      <c r="H145" s="173"/>
      <c r="I145" s="173"/>
      <c r="J145" s="173"/>
      <c r="K145" s="173"/>
      <c r="L145" s="173"/>
      <c r="M145" s="13"/>
      <c r="N145" s="13"/>
      <c r="O145" s="13"/>
      <c r="P145" s="13"/>
      <c r="Q145" s="173"/>
      <c r="R145" s="175">
        <f t="array" ref="R145">LEN(C145)-SUM((LEN(C145)-LEN(SUBSTITUTE(C145,修饰列表!$B$2:$B$80,修饰列表!$D$2:$D$80))))</f>
        <v>0</v>
      </c>
    </row>
    <row r="146" spans="1:18">
      <c r="A146" s="171"/>
      <c r="B146" s="181"/>
      <c r="C146" s="182"/>
      <c r="D146" s="182"/>
      <c r="E146" s="18"/>
      <c r="F146" s="173"/>
      <c r="G146" s="173"/>
      <c r="H146" s="173"/>
      <c r="I146" s="173"/>
      <c r="J146" s="173"/>
      <c r="K146" s="173"/>
      <c r="L146" s="173"/>
      <c r="M146" s="13"/>
      <c r="N146" s="13"/>
      <c r="O146" s="13"/>
      <c r="P146" s="13"/>
      <c r="Q146" s="173"/>
      <c r="R146" s="175">
        <f t="array" ref="R146">LEN(C146)-SUM((LEN(C146)-LEN(SUBSTITUTE(C146,修饰列表!$B$2:$B$80,修饰列表!$D$2:$D$80))))</f>
        <v>0</v>
      </c>
    </row>
    <row r="147" spans="1:18">
      <c r="A147" s="171"/>
      <c r="B147" s="181"/>
      <c r="C147" s="182"/>
      <c r="D147" s="182"/>
      <c r="E147" s="18"/>
      <c r="F147" s="173"/>
      <c r="G147" s="173"/>
      <c r="H147" s="173"/>
      <c r="I147" s="173"/>
      <c r="J147" s="173"/>
      <c r="K147" s="173"/>
      <c r="L147" s="173"/>
      <c r="M147" s="13"/>
      <c r="N147" s="13"/>
      <c r="O147" s="13"/>
      <c r="P147" s="13"/>
      <c r="Q147" s="173"/>
      <c r="R147" s="175">
        <f t="array" ref="R147">LEN(C147)-SUM((LEN(C147)-LEN(SUBSTITUTE(C147,修饰列表!$B$2:$B$80,修饰列表!$D$2:$D$80))))</f>
        <v>0</v>
      </c>
    </row>
    <row r="148" spans="1:18">
      <c r="A148" s="171"/>
      <c r="B148" s="181"/>
      <c r="C148" s="182"/>
      <c r="D148" s="182"/>
      <c r="E148" s="18"/>
      <c r="F148" s="173"/>
      <c r="G148" s="173"/>
      <c r="H148" s="173"/>
      <c r="I148" s="173"/>
      <c r="J148" s="173"/>
      <c r="K148" s="173"/>
      <c r="L148" s="173"/>
      <c r="M148" s="13"/>
      <c r="N148" s="13"/>
      <c r="O148" s="13"/>
      <c r="P148" s="13"/>
      <c r="Q148" s="173"/>
      <c r="R148" s="175">
        <f t="array" ref="R148">LEN(C148)-SUM((LEN(C148)-LEN(SUBSTITUTE(C148,修饰列表!$B$2:$B$80,修饰列表!$D$2:$D$80))))</f>
        <v>0</v>
      </c>
    </row>
    <row r="149" spans="1:18">
      <c r="A149" s="171"/>
      <c r="B149" s="181"/>
      <c r="C149" s="182"/>
      <c r="D149" s="182"/>
      <c r="E149" s="18"/>
      <c r="F149" s="173"/>
      <c r="G149" s="173"/>
      <c r="H149" s="173"/>
      <c r="I149" s="173"/>
      <c r="J149" s="173"/>
      <c r="K149" s="173"/>
      <c r="L149" s="173"/>
      <c r="M149" s="13"/>
      <c r="N149" s="13"/>
      <c r="O149" s="13"/>
      <c r="P149" s="13"/>
      <c r="Q149" s="173"/>
      <c r="R149" s="175">
        <f t="array" ref="R149">LEN(C149)-SUM((LEN(C149)-LEN(SUBSTITUTE(C149,修饰列表!$B$2:$B$80,修饰列表!$D$2:$D$80))))</f>
        <v>0</v>
      </c>
    </row>
    <row r="150" spans="1:18">
      <c r="A150" s="171"/>
      <c r="B150" s="181"/>
      <c r="C150" s="182"/>
      <c r="D150" s="182"/>
      <c r="E150" s="18"/>
      <c r="F150" s="173"/>
      <c r="G150" s="173"/>
      <c r="H150" s="173"/>
      <c r="I150" s="173"/>
      <c r="J150" s="173"/>
      <c r="K150" s="173"/>
      <c r="L150" s="173"/>
      <c r="M150" s="13"/>
      <c r="N150" s="13"/>
      <c r="O150" s="13"/>
      <c r="P150" s="13"/>
      <c r="Q150" s="173"/>
      <c r="R150" s="175">
        <f t="array" ref="R150">LEN(C150)-SUM((LEN(C150)-LEN(SUBSTITUTE(C150,修饰列表!$B$2:$B$80,修饰列表!$D$2:$D$80))))</f>
        <v>0</v>
      </c>
    </row>
    <row r="151" spans="1:18">
      <c r="A151" s="171"/>
      <c r="B151" s="181"/>
      <c r="C151" s="182"/>
      <c r="D151" s="182"/>
      <c r="E151" s="18"/>
      <c r="F151" s="173"/>
      <c r="G151" s="173"/>
      <c r="H151" s="173"/>
      <c r="I151" s="173"/>
      <c r="J151" s="173"/>
      <c r="K151" s="173"/>
      <c r="L151" s="173"/>
      <c r="M151" s="13"/>
      <c r="N151" s="13"/>
      <c r="O151" s="13"/>
      <c r="P151" s="13"/>
      <c r="Q151" s="173"/>
      <c r="R151" s="175">
        <f t="array" ref="R151">LEN(C151)-SUM((LEN(C151)-LEN(SUBSTITUTE(C151,修饰列表!$B$2:$B$80,修饰列表!$D$2:$D$80))))</f>
        <v>0</v>
      </c>
    </row>
    <row r="152" spans="1:18">
      <c r="A152" s="171"/>
      <c r="B152" s="181"/>
      <c r="C152" s="182"/>
      <c r="D152" s="182"/>
      <c r="E152" s="18"/>
      <c r="F152" s="173"/>
      <c r="G152" s="173"/>
      <c r="H152" s="173"/>
      <c r="I152" s="173"/>
      <c r="J152" s="173"/>
      <c r="K152" s="173"/>
      <c r="L152" s="173"/>
      <c r="M152" s="13"/>
      <c r="N152" s="13"/>
      <c r="O152" s="13"/>
      <c r="P152" s="13"/>
      <c r="Q152" s="173"/>
      <c r="R152" s="175">
        <f t="array" ref="R152">LEN(C152)-SUM((LEN(C152)-LEN(SUBSTITUTE(C152,修饰列表!$B$2:$B$80,修饰列表!$D$2:$D$80))))</f>
        <v>0</v>
      </c>
    </row>
    <row r="153" spans="1:18">
      <c r="A153" s="171"/>
      <c r="B153" s="181"/>
      <c r="C153" s="182"/>
      <c r="D153" s="182"/>
      <c r="E153" s="18"/>
      <c r="F153" s="173"/>
      <c r="G153" s="173"/>
      <c r="H153" s="173"/>
      <c r="I153" s="173"/>
      <c r="J153" s="173"/>
      <c r="K153" s="173"/>
      <c r="L153" s="173"/>
      <c r="M153" s="13"/>
      <c r="N153" s="13"/>
      <c r="O153" s="13"/>
      <c r="P153" s="13"/>
      <c r="Q153" s="173"/>
      <c r="R153" s="175">
        <f t="array" ref="R153">LEN(C153)-SUM((LEN(C153)-LEN(SUBSTITUTE(C153,修饰列表!$B$2:$B$80,修饰列表!$D$2:$D$80))))</f>
        <v>0</v>
      </c>
    </row>
    <row r="154" spans="1:18">
      <c r="A154" s="171"/>
      <c r="B154" s="181"/>
      <c r="C154" s="182"/>
      <c r="D154" s="182"/>
      <c r="E154" s="18"/>
      <c r="F154" s="173"/>
      <c r="G154" s="173"/>
      <c r="H154" s="173"/>
      <c r="I154" s="173"/>
      <c r="J154" s="173"/>
      <c r="K154" s="173"/>
      <c r="L154" s="173"/>
      <c r="M154" s="13"/>
      <c r="N154" s="13"/>
      <c r="O154" s="13"/>
      <c r="P154" s="13"/>
      <c r="Q154" s="173"/>
      <c r="R154" s="175">
        <f t="array" ref="R154">LEN(C154)-SUM((LEN(C154)-LEN(SUBSTITUTE(C154,修饰列表!$B$2:$B$80,修饰列表!$D$2:$D$80))))</f>
        <v>0</v>
      </c>
    </row>
    <row r="155" spans="1:18">
      <c r="A155" s="171"/>
      <c r="B155" s="181"/>
      <c r="C155" s="182"/>
      <c r="D155" s="182"/>
      <c r="E155" s="18"/>
      <c r="F155" s="173"/>
      <c r="G155" s="173"/>
      <c r="H155" s="173"/>
      <c r="I155" s="173"/>
      <c r="J155" s="173"/>
      <c r="K155" s="173"/>
      <c r="L155" s="173"/>
      <c r="M155" s="13"/>
      <c r="N155" s="13"/>
      <c r="O155" s="13"/>
      <c r="P155" s="13"/>
      <c r="Q155" s="173"/>
      <c r="R155" s="175">
        <f t="array" ref="R155">LEN(C155)-SUM((LEN(C155)-LEN(SUBSTITUTE(C155,修饰列表!$B$2:$B$80,修饰列表!$D$2:$D$80))))</f>
        <v>0</v>
      </c>
    </row>
    <row r="156" spans="1:18">
      <c r="A156" s="171"/>
      <c r="B156" s="181"/>
      <c r="C156" s="182"/>
      <c r="D156" s="182"/>
      <c r="E156" s="18"/>
      <c r="F156" s="173"/>
      <c r="G156" s="173"/>
      <c r="H156" s="173"/>
      <c r="I156" s="173"/>
      <c r="J156" s="173"/>
      <c r="K156" s="173"/>
      <c r="L156" s="173"/>
      <c r="M156" s="13"/>
      <c r="N156" s="13"/>
      <c r="O156" s="13"/>
      <c r="P156" s="13"/>
      <c r="Q156" s="173"/>
      <c r="R156" s="175">
        <f t="array" ref="R156">LEN(C156)-SUM((LEN(C156)-LEN(SUBSTITUTE(C156,修饰列表!$B$2:$B$80,修饰列表!$D$2:$D$80))))</f>
        <v>0</v>
      </c>
    </row>
    <row r="157" spans="1:18">
      <c r="A157" s="171"/>
      <c r="B157" s="181"/>
      <c r="C157" s="182"/>
      <c r="D157" s="182"/>
      <c r="E157" s="18"/>
      <c r="F157" s="173"/>
      <c r="G157" s="173"/>
      <c r="H157" s="173"/>
      <c r="I157" s="173"/>
      <c r="J157" s="173"/>
      <c r="K157" s="173"/>
      <c r="L157" s="173"/>
      <c r="M157" s="13"/>
      <c r="N157" s="13"/>
      <c r="O157" s="13"/>
      <c r="P157" s="13"/>
      <c r="Q157" s="173"/>
      <c r="R157" s="175">
        <f t="array" ref="R157">LEN(C157)-SUM((LEN(C157)-LEN(SUBSTITUTE(C157,修饰列表!$B$2:$B$80,修饰列表!$D$2:$D$80))))</f>
        <v>0</v>
      </c>
    </row>
    <row r="158" spans="1:18">
      <c r="A158" s="171"/>
      <c r="B158" s="181"/>
      <c r="C158" s="182"/>
      <c r="D158" s="182"/>
      <c r="E158" s="18"/>
      <c r="F158" s="173"/>
      <c r="G158" s="173"/>
      <c r="H158" s="173"/>
      <c r="I158" s="173"/>
      <c r="J158" s="173"/>
      <c r="K158" s="173"/>
      <c r="L158" s="173"/>
      <c r="M158" s="13"/>
      <c r="N158" s="13"/>
      <c r="O158" s="13"/>
      <c r="P158" s="13"/>
      <c r="Q158" s="173"/>
      <c r="R158" s="175">
        <f t="array" ref="R158">LEN(C158)-SUM((LEN(C158)-LEN(SUBSTITUTE(C158,修饰列表!$B$2:$B$80,修饰列表!$D$2:$D$80))))</f>
        <v>0</v>
      </c>
    </row>
    <row r="159" spans="1:18">
      <c r="A159" s="171"/>
      <c r="B159" s="181"/>
      <c r="C159" s="182"/>
      <c r="D159" s="182"/>
      <c r="E159" s="18"/>
      <c r="F159" s="173"/>
      <c r="G159" s="173"/>
      <c r="H159" s="173"/>
      <c r="I159" s="173"/>
      <c r="J159" s="173"/>
      <c r="K159" s="173"/>
      <c r="L159" s="173"/>
      <c r="M159" s="13"/>
      <c r="N159" s="13"/>
      <c r="O159" s="13"/>
      <c r="P159" s="13"/>
      <c r="Q159" s="173"/>
      <c r="R159" s="175">
        <f t="array" ref="R159">LEN(C159)-SUM((LEN(C159)-LEN(SUBSTITUTE(C159,修饰列表!$B$2:$B$80,修饰列表!$D$2:$D$80))))</f>
        <v>0</v>
      </c>
    </row>
    <row r="160" spans="1:18">
      <c r="A160" s="171"/>
      <c r="B160" s="181"/>
      <c r="C160" s="182"/>
      <c r="D160" s="182"/>
      <c r="E160" s="18"/>
      <c r="F160" s="173"/>
      <c r="G160" s="173"/>
      <c r="H160" s="173"/>
      <c r="I160" s="173"/>
      <c r="J160" s="173"/>
      <c r="K160" s="173"/>
      <c r="L160" s="173"/>
      <c r="M160" s="13"/>
      <c r="N160" s="13"/>
      <c r="O160" s="13"/>
      <c r="P160" s="13"/>
      <c r="Q160" s="173"/>
      <c r="R160" s="175">
        <f t="array" ref="R160">LEN(C160)-SUM((LEN(C160)-LEN(SUBSTITUTE(C160,修饰列表!$B$2:$B$80,修饰列表!$D$2:$D$80))))</f>
        <v>0</v>
      </c>
    </row>
    <row r="161" spans="1:18">
      <c r="A161" s="171"/>
      <c r="B161" s="181"/>
      <c r="C161" s="182"/>
      <c r="D161" s="182"/>
      <c r="E161" s="18"/>
      <c r="F161" s="173"/>
      <c r="G161" s="173"/>
      <c r="H161" s="173"/>
      <c r="I161" s="173"/>
      <c r="J161" s="173"/>
      <c r="K161" s="173"/>
      <c r="L161" s="173"/>
      <c r="M161" s="13"/>
      <c r="N161" s="13"/>
      <c r="O161" s="13"/>
      <c r="P161" s="13"/>
      <c r="Q161" s="173"/>
      <c r="R161" s="175">
        <f t="array" ref="R161">LEN(C161)-SUM((LEN(C161)-LEN(SUBSTITUTE(C161,修饰列表!$B$2:$B$80,修饰列表!$D$2:$D$80))))</f>
        <v>0</v>
      </c>
    </row>
    <row r="162" spans="1:18">
      <c r="A162" s="171"/>
      <c r="B162" s="181"/>
      <c r="C162" s="182"/>
      <c r="D162" s="182"/>
      <c r="E162" s="18"/>
      <c r="F162" s="173"/>
      <c r="G162" s="173"/>
      <c r="H162" s="173"/>
      <c r="I162" s="173"/>
      <c r="J162" s="173"/>
      <c r="K162" s="173"/>
      <c r="L162" s="173"/>
      <c r="M162" s="13"/>
      <c r="N162" s="13"/>
      <c r="O162" s="13"/>
      <c r="P162" s="13"/>
      <c r="Q162" s="173"/>
      <c r="R162" s="175">
        <f t="array" ref="R162">LEN(C162)-SUM((LEN(C162)-LEN(SUBSTITUTE(C162,修饰列表!$B$2:$B$80,修饰列表!$D$2:$D$80))))</f>
        <v>0</v>
      </c>
    </row>
    <row r="163" spans="1:18">
      <c r="A163" s="171"/>
      <c r="B163" s="181"/>
      <c r="C163" s="182"/>
      <c r="D163" s="182"/>
      <c r="E163" s="18"/>
      <c r="F163" s="173"/>
      <c r="G163" s="173"/>
      <c r="H163" s="173"/>
      <c r="I163" s="173"/>
      <c r="J163" s="173"/>
      <c r="K163" s="173"/>
      <c r="L163" s="173"/>
      <c r="M163" s="13"/>
      <c r="N163" s="13"/>
      <c r="O163" s="13"/>
      <c r="P163" s="13"/>
      <c r="Q163" s="173"/>
      <c r="R163" s="175">
        <f t="array" ref="R163">LEN(C163)-SUM((LEN(C163)-LEN(SUBSTITUTE(C163,修饰列表!$B$2:$B$80,修饰列表!$D$2:$D$80))))</f>
        <v>0</v>
      </c>
    </row>
    <row r="164" spans="1:18">
      <c r="A164" s="171"/>
      <c r="B164" s="181"/>
      <c r="C164" s="182"/>
      <c r="D164" s="182"/>
      <c r="E164" s="18"/>
      <c r="F164" s="173"/>
      <c r="G164" s="173"/>
      <c r="H164" s="173"/>
      <c r="I164" s="173"/>
      <c r="J164" s="173"/>
      <c r="K164" s="173"/>
      <c r="L164" s="173"/>
      <c r="M164" s="13"/>
      <c r="N164" s="13"/>
      <c r="O164" s="13"/>
      <c r="P164" s="13"/>
      <c r="Q164" s="173"/>
      <c r="R164" s="175">
        <f t="array" ref="R164">LEN(C164)-SUM((LEN(C164)-LEN(SUBSTITUTE(C164,修饰列表!$B$2:$B$80,修饰列表!$D$2:$D$80))))</f>
        <v>0</v>
      </c>
    </row>
    <row r="165" spans="1:18">
      <c r="A165" s="171"/>
      <c r="B165" s="181"/>
      <c r="C165" s="182"/>
      <c r="D165" s="182"/>
      <c r="E165" s="18"/>
      <c r="F165" s="173"/>
      <c r="G165" s="173"/>
      <c r="H165" s="173"/>
      <c r="I165" s="173"/>
      <c r="J165" s="173"/>
      <c r="K165" s="173"/>
      <c r="L165" s="173"/>
      <c r="M165" s="13"/>
      <c r="N165" s="13"/>
      <c r="O165" s="13"/>
      <c r="P165" s="13"/>
      <c r="Q165" s="173"/>
      <c r="R165" s="175">
        <f t="array" ref="R165">LEN(C165)-SUM((LEN(C165)-LEN(SUBSTITUTE(C165,修饰列表!$B$2:$B$80,修饰列表!$D$2:$D$80))))</f>
        <v>0</v>
      </c>
    </row>
    <row r="166" spans="1:18">
      <c r="A166" s="171"/>
      <c r="B166" s="181"/>
      <c r="C166" s="182"/>
      <c r="D166" s="182"/>
      <c r="E166" s="18"/>
      <c r="F166" s="173"/>
      <c r="G166" s="173"/>
      <c r="H166" s="173"/>
      <c r="I166" s="173"/>
      <c r="J166" s="173"/>
      <c r="K166" s="173"/>
      <c r="L166" s="173"/>
      <c r="M166" s="13"/>
      <c r="N166" s="13"/>
      <c r="O166" s="13"/>
      <c r="P166" s="13"/>
      <c r="Q166" s="173"/>
      <c r="R166" s="175">
        <f t="array" ref="R166">LEN(C166)-SUM((LEN(C166)-LEN(SUBSTITUTE(C166,修饰列表!$B$2:$B$80,修饰列表!$D$2:$D$80))))</f>
        <v>0</v>
      </c>
    </row>
    <row r="167" spans="1:18">
      <c r="A167" s="171"/>
      <c r="B167" s="181"/>
      <c r="C167" s="182"/>
      <c r="D167" s="182"/>
      <c r="E167" s="18"/>
      <c r="F167" s="173"/>
      <c r="G167" s="173"/>
      <c r="H167" s="173"/>
      <c r="I167" s="173"/>
      <c r="J167" s="173"/>
      <c r="K167" s="173"/>
      <c r="L167" s="173"/>
      <c r="M167" s="13"/>
      <c r="N167" s="13"/>
      <c r="O167" s="13"/>
      <c r="P167" s="13"/>
      <c r="Q167" s="173"/>
      <c r="R167" s="175">
        <f t="array" ref="R167">LEN(C167)-SUM((LEN(C167)-LEN(SUBSTITUTE(C167,修饰列表!$B$2:$B$80,修饰列表!$D$2:$D$80))))</f>
        <v>0</v>
      </c>
    </row>
    <row r="168" spans="1:18">
      <c r="A168" s="171"/>
      <c r="B168" s="181"/>
      <c r="C168" s="182"/>
      <c r="D168" s="182"/>
      <c r="E168" s="18"/>
      <c r="F168" s="173"/>
      <c r="G168" s="173"/>
      <c r="H168" s="173"/>
      <c r="I168" s="173"/>
      <c r="J168" s="173"/>
      <c r="K168" s="173"/>
      <c r="L168" s="173"/>
      <c r="M168" s="13"/>
      <c r="N168" s="13"/>
      <c r="O168" s="13"/>
      <c r="P168" s="13"/>
      <c r="Q168" s="173"/>
      <c r="R168" s="175">
        <f t="array" ref="R168">LEN(C168)-SUM((LEN(C168)-LEN(SUBSTITUTE(C168,修饰列表!$B$2:$B$80,修饰列表!$D$2:$D$80))))</f>
        <v>0</v>
      </c>
    </row>
    <row r="169" spans="1:18">
      <c r="A169" s="171"/>
      <c r="B169" s="181"/>
      <c r="C169" s="182"/>
      <c r="D169" s="182"/>
      <c r="E169" s="18"/>
      <c r="F169" s="173"/>
      <c r="G169" s="173"/>
      <c r="H169" s="173"/>
      <c r="I169" s="173"/>
      <c r="J169" s="173"/>
      <c r="K169" s="173"/>
      <c r="L169" s="173"/>
      <c r="M169" s="13"/>
      <c r="N169" s="13"/>
      <c r="O169" s="13"/>
      <c r="P169" s="13"/>
      <c r="Q169" s="173"/>
      <c r="R169" s="175">
        <f t="array" ref="R169">LEN(C169)-SUM((LEN(C169)-LEN(SUBSTITUTE(C169,修饰列表!$B$2:$B$80,修饰列表!$D$2:$D$80))))</f>
        <v>0</v>
      </c>
    </row>
    <row r="170" spans="1:18">
      <c r="A170" s="171"/>
      <c r="B170" s="181"/>
      <c r="C170" s="182"/>
      <c r="D170" s="182"/>
      <c r="E170" s="18"/>
      <c r="F170" s="173"/>
      <c r="G170" s="173"/>
      <c r="H170" s="173"/>
      <c r="I170" s="173"/>
      <c r="J170" s="173"/>
      <c r="K170" s="173"/>
      <c r="L170" s="173"/>
      <c r="M170" s="13"/>
      <c r="N170" s="13"/>
      <c r="O170" s="13"/>
      <c r="P170" s="13"/>
      <c r="Q170" s="173"/>
      <c r="R170" s="175">
        <f t="array" ref="R170">LEN(C170)-SUM((LEN(C170)-LEN(SUBSTITUTE(C170,修饰列表!$B$2:$B$80,修饰列表!$D$2:$D$80))))</f>
        <v>0</v>
      </c>
    </row>
    <row r="171" spans="1:18">
      <c r="A171" s="171"/>
      <c r="B171" s="181"/>
      <c r="C171" s="182"/>
      <c r="D171" s="182"/>
      <c r="E171" s="18"/>
      <c r="F171" s="173"/>
      <c r="G171" s="173"/>
      <c r="H171" s="173"/>
      <c r="I171" s="173"/>
      <c r="J171" s="173"/>
      <c r="K171" s="173"/>
      <c r="L171" s="173"/>
      <c r="M171" s="13"/>
      <c r="N171" s="13"/>
      <c r="O171" s="13"/>
      <c r="P171" s="13"/>
      <c r="Q171" s="173"/>
      <c r="R171" s="175">
        <f t="array" ref="R171">LEN(C171)-SUM((LEN(C171)-LEN(SUBSTITUTE(C171,修饰列表!$B$2:$B$80,修饰列表!$D$2:$D$80))))</f>
        <v>0</v>
      </c>
    </row>
    <row r="172" spans="1:18">
      <c r="A172" s="171"/>
      <c r="B172" s="181"/>
      <c r="C172" s="182"/>
      <c r="D172" s="182"/>
      <c r="E172" s="18"/>
      <c r="F172" s="173"/>
      <c r="G172" s="173"/>
      <c r="H172" s="173"/>
      <c r="I172" s="173"/>
      <c r="J172" s="173"/>
      <c r="K172" s="173"/>
      <c r="L172" s="173"/>
      <c r="M172" s="13"/>
      <c r="N172" s="13"/>
      <c r="O172" s="13"/>
      <c r="P172" s="13"/>
      <c r="Q172" s="173"/>
      <c r="R172" s="175">
        <f t="array" ref="R172">LEN(C172)-SUM((LEN(C172)-LEN(SUBSTITUTE(C172,修饰列表!$B$2:$B$80,修饰列表!$D$2:$D$80))))</f>
        <v>0</v>
      </c>
    </row>
    <row r="173" spans="1:18">
      <c r="A173" s="171"/>
      <c r="B173" s="181"/>
      <c r="C173" s="182"/>
      <c r="D173" s="182"/>
      <c r="E173" s="18"/>
      <c r="F173" s="173"/>
      <c r="G173" s="173"/>
      <c r="H173" s="173"/>
      <c r="I173" s="173"/>
      <c r="J173" s="173"/>
      <c r="K173" s="173"/>
      <c r="L173" s="173"/>
      <c r="M173" s="13"/>
      <c r="N173" s="13"/>
      <c r="O173" s="13"/>
      <c r="P173" s="13"/>
      <c r="Q173" s="173"/>
      <c r="R173" s="175">
        <f t="array" ref="R173">LEN(C173)-SUM((LEN(C173)-LEN(SUBSTITUTE(C173,修饰列表!$B$2:$B$80,修饰列表!$D$2:$D$80))))</f>
        <v>0</v>
      </c>
    </row>
    <row r="174" spans="1:18">
      <c r="A174" s="171"/>
      <c r="B174" s="181"/>
      <c r="C174" s="182"/>
      <c r="D174" s="182"/>
      <c r="E174" s="18"/>
      <c r="F174" s="173"/>
      <c r="G174" s="173"/>
      <c r="H174" s="173"/>
      <c r="I174" s="173"/>
      <c r="J174" s="173"/>
      <c r="K174" s="173"/>
      <c r="L174" s="173"/>
      <c r="M174" s="13"/>
      <c r="N174" s="13"/>
      <c r="O174" s="13"/>
      <c r="P174" s="13"/>
      <c r="Q174" s="173"/>
      <c r="R174" s="175">
        <f t="array" ref="R174">LEN(C174)-SUM((LEN(C174)-LEN(SUBSTITUTE(C174,修饰列表!$B$2:$B$80,修饰列表!$D$2:$D$80))))</f>
        <v>0</v>
      </c>
    </row>
    <row r="175" spans="1:18">
      <c r="A175" s="171"/>
      <c r="B175" s="181"/>
      <c r="C175" s="182"/>
      <c r="D175" s="182"/>
      <c r="E175" s="18"/>
      <c r="F175" s="173"/>
      <c r="G175" s="173"/>
      <c r="H175" s="173"/>
      <c r="I175" s="173"/>
      <c r="J175" s="173"/>
      <c r="K175" s="173"/>
      <c r="L175" s="173"/>
      <c r="M175" s="13"/>
      <c r="N175" s="13"/>
      <c r="O175" s="13"/>
      <c r="P175" s="13"/>
      <c r="Q175" s="173"/>
      <c r="R175" s="175">
        <f t="array" ref="R175">LEN(C175)-SUM((LEN(C175)-LEN(SUBSTITUTE(C175,修饰列表!$B$2:$B$80,修饰列表!$D$2:$D$80))))</f>
        <v>0</v>
      </c>
    </row>
    <row r="176" spans="1:18">
      <c r="A176" s="171"/>
      <c r="B176" s="181"/>
      <c r="C176" s="182"/>
      <c r="D176" s="182"/>
      <c r="E176" s="18"/>
      <c r="F176" s="173"/>
      <c r="G176" s="173"/>
      <c r="H176" s="173"/>
      <c r="I176" s="173"/>
      <c r="J176" s="173"/>
      <c r="K176" s="173"/>
      <c r="L176" s="173"/>
      <c r="M176" s="13"/>
      <c r="N176" s="13"/>
      <c r="O176" s="13"/>
      <c r="P176" s="13"/>
      <c r="Q176" s="173"/>
      <c r="R176" s="175">
        <f t="array" ref="R176">LEN(C176)-SUM((LEN(C176)-LEN(SUBSTITUTE(C176,修饰列表!$B$2:$B$80,修饰列表!$D$2:$D$80))))</f>
        <v>0</v>
      </c>
    </row>
    <row r="177" spans="1:18">
      <c r="A177" s="171"/>
      <c r="B177" s="181"/>
      <c r="C177" s="182"/>
      <c r="D177" s="182"/>
      <c r="E177" s="18"/>
      <c r="F177" s="173"/>
      <c r="G177" s="173"/>
      <c r="H177" s="173"/>
      <c r="I177" s="173"/>
      <c r="J177" s="173"/>
      <c r="K177" s="173"/>
      <c r="L177" s="173"/>
      <c r="M177" s="13"/>
      <c r="N177" s="13"/>
      <c r="O177" s="13"/>
      <c r="P177" s="13"/>
      <c r="Q177" s="173"/>
      <c r="R177" s="175">
        <f t="array" ref="R177">LEN(C177)-SUM((LEN(C177)-LEN(SUBSTITUTE(C177,修饰列表!$B$2:$B$80,修饰列表!$D$2:$D$80))))</f>
        <v>0</v>
      </c>
    </row>
    <row r="178" spans="1:18">
      <c r="A178" s="171"/>
      <c r="B178" s="181"/>
      <c r="C178" s="182"/>
      <c r="D178" s="182"/>
      <c r="E178" s="18"/>
      <c r="F178" s="173"/>
      <c r="G178" s="173"/>
      <c r="H178" s="173"/>
      <c r="I178" s="173"/>
      <c r="J178" s="173"/>
      <c r="K178" s="173"/>
      <c r="L178" s="173"/>
      <c r="M178" s="13"/>
      <c r="N178" s="13"/>
      <c r="O178" s="13"/>
      <c r="P178" s="13"/>
      <c r="Q178" s="173"/>
      <c r="R178" s="175">
        <f t="array" ref="R178">LEN(C178)-SUM((LEN(C178)-LEN(SUBSTITUTE(C178,修饰列表!$B$2:$B$80,修饰列表!$D$2:$D$80))))</f>
        <v>0</v>
      </c>
    </row>
    <row r="179" spans="1:18">
      <c r="A179" s="171"/>
      <c r="B179" s="181"/>
      <c r="C179" s="182"/>
      <c r="D179" s="182"/>
      <c r="E179" s="18"/>
      <c r="F179" s="173"/>
      <c r="G179" s="173"/>
      <c r="H179" s="173"/>
      <c r="I179" s="173"/>
      <c r="J179" s="173"/>
      <c r="K179" s="173"/>
      <c r="L179" s="173"/>
      <c r="M179" s="13"/>
      <c r="N179" s="13"/>
      <c r="O179" s="13"/>
      <c r="P179" s="13"/>
      <c r="Q179" s="173"/>
      <c r="R179" s="175">
        <f t="array" ref="R179">LEN(C179)-SUM((LEN(C179)-LEN(SUBSTITUTE(C179,修饰列表!$B$2:$B$80,修饰列表!$D$2:$D$80))))</f>
        <v>0</v>
      </c>
    </row>
    <row r="180" spans="1:18">
      <c r="A180" s="171"/>
      <c r="B180" s="181"/>
      <c r="C180" s="182"/>
      <c r="D180" s="182"/>
      <c r="E180" s="18"/>
      <c r="F180" s="173"/>
      <c r="G180" s="173"/>
      <c r="H180" s="173"/>
      <c r="I180" s="173"/>
      <c r="J180" s="173"/>
      <c r="K180" s="173"/>
      <c r="L180" s="173"/>
      <c r="M180" s="13"/>
      <c r="N180" s="13"/>
      <c r="O180" s="13"/>
      <c r="P180" s="13"/>
      <c r="Q180" s="173"/>
      <c r="R180" s="175">
        <f t="array" ref="R180">LEN(C180)-SUM((LEN(C180)-LEN(SUBSTITUTE(C180,修饰列表!$B$2:$B$80,修饰列表!$D$2:$D$80))))</f>
        <v>0</v>
      </c>
    </row>
    <row r="181" spans="1:18">
      <c r="A181" s="171"/>
      <c r="B181" s="181"/>
      <c r="C181" s="182"/>
      <c r="D181" s="182"/>
      <c r="E181" s="18"/>
      <c r="F181" s="173"/>
      <c r="G181" s="173"/>
      <c r="H181" s="173"/>
      <c r="I181" s="173"/>
      <c r="J181" s="173"/>
      <c r="K181" s="173"/>
      <c r="L181" s="173"/>
      <c r="M181" s="13"/>
      <c r="N181" s="13"/>
      <c r="O181" s="13"/>
      <c r="P181" s="13"/>
      <c r="Q181" s="173"/>
      <c r="R181" s="175">
        <f t="array" ref="R181">LEN(C181)-SUM((LEN(C181)-LEN(SUBSTITUTE(C181,修饰列表!$B$2:$B$80,修饰列表!$D$2:$D$80))))</f>
        <v>0</v>
      </c>
    </row>
    <row r="182" spans="1:18">
      <c r="A182" s="171"/>
      <c r="B182" s="181"/>
      <c r="C182" s="182"/>
      <c r="D182" s="182"/>
      <c r="E182" s="18"/>
      <c r="F182" s="173"/>
      <c r="G182" s="173"/>
      <c r="H182" s="173"/>
      <c r="I182" s="173"/>
      <c r="J182" s="173"/>
      <c r="K182" s="173"/>
      <c r="L182" s="173"/>
      <c r="M182" s="13"/>
      <c r="N182" s="13"/>
      <c r="O182" s="13"/>
      <c r="P182" s="13"/>
      <c r="Q182" s="173"/>
      <c r="R182" s="175">
        <f t="array" ref="R182">LEN(C182)-SUM((LEN(C182)-LEN(SUBSTITUTE(C182,修饰列表!$B$2:$B$80,修饰列表!$D$2:$D$80))))</f>
        <v>0</v>
      </c>
    </row>
    <row r="183" spans="1:18">
      <c r="A183" s="171"/>
      <c r="B183" s="181"/>
      <c r="C183" s="182"/>
      <c r="D183" s="182"/>
      <c r="E183" s="18"/>
      <c r="F183" s="173"/>
      <c r="G183" s="173"/>
      <c r="H183" s="173"/>
      <c r="I183" s="173"/>
      <c r="J183" s="173"/>
      <c r="K183" s="173"/>
      <c r="L183" s="173"/>
      <c r="M183" s="13"/>
      <c r="N183" s="13"/>
      <c r="O183" s="13"/>
      <c r="P183" s="13"/>
      <c r="Q183" s="173"/>
      <c r="R183" s="175">
        <f t="array" ref="R183">LEN(C183)-SUM((LEN(C183)-LEN(SUBSTITUTE(C183,修饰列表!$B$2:$B$80,修饰列表!$D$2:$D$80))))</f>
        <v>0</v>
      </c>
    </row>
    <row r="184" spans="1:18">
      <c r="A184" s="171"/>
      <c r="B184" s="181"/>
      <c r="C184" s="182"/>
      <c r="D184" s="182"/>
      <c r="E184" s="18"/>
      <c r="F184" s="173"/>
      <c r="G184" s="173"/>
      <c r="H184" s="173"/>
      <c r="I184" s="173"/>
      <c r="J184" s="173"/>
      <c r="K184" s="173"/>
      <c r="L184" s="173"/>
      <c r="M184" s="13"/>
      <c r="N184" s="13"/>
      <c r="O184" s="13"/>
      <c r="P184" s="13"/>
      <c r="Q184" s="173"/>
      <c r="R184" s="175">
        <f t="array" ref="R184">LEN(C184)-SUM((LEN(C184)-LEN(SUBSTITUTE(C184,修饰列表!$B$2:$B$80,修饰列表!$D$2:$D$80))))</f>
        <v>0</v>
      </c>
    </row>
    <row r="185" spans="1:18">
      <c r="A185" s="171"/>
      <c r="B185" s="181"/>
      <c r="C185" s="182"/>
      <c r="D185" s="182"/>
      <c r="E185" s="18"/>
      <c r="F185" s="173"/>
      <c r="G185" s="173"/>
      <c r="H185" s="173"/>
      <c r="I185" s="173"/>
      <c r="J185" s="173"/>
      <c r="K185" s="173"/>
      <c r="L185" s="173"/>
      <c r="M185" s="13"/>
      <c r="N185" s="13"/>
      <c r="O185" s="13"/>
      <c r="P185" s="13"/>
      <c r="Q185" s="173"/>
      <c r="R185" s="175">
        <f t="array" ref="R185">LEN(C185)-SUM((LEN(C185)-LEN(SUBSTITUTE(C185,修饰列表!$B$2:$B$80,修饰列表!$D$2:$D$80))))</f>
        <v>0</v>
      </c>
    </row>
    <row r="186" spans="1:18">
      <c r="A186" s="171"/>
      <c r="B186" s="181"/>
      <c r="C186" s="182"/>
      <c r="D186" s="182"/>
      <c r="E186" s="18"/>
      <c r="F186" s="173"/>
      <c r="G186" s="173"/>
      <c r="H186" s="173"/>
      <c r="I186" s="173"/>
      <c r="J186" s="173"/>
      <c r="K186" s="173"/>
      <c r="L186" s="173"/>
      <c r="M186" s="13"/>
      <c r="N186" s="13"/>
      <c r="O186" s="13"/>
      <c r="P186" s="13"/>
      <c r="Q186" s="173"/>
      <c r="R186" s="175">
        <f t="array" ref="R186">LEN(C186)-SUM((LEN(C186)-LEN(SUBSTITUTE(C186,修饰列表!$B$2:$B$80,修饰列表!$D$2:$D$80))))</f>
        <v>0</v>
      </c>
    </row>
    <row r="187" spans="1:18">
      <c r="A187" s="171"/>
      <c r="B187" s="181"/>
      <c r="C187" s="182"/>
      <c r="D187" s="182"/>
      <c r="E187" s="18"/>
      <c r="F187" s="173"/>
      <c r="G187" s="173"/>
      <c r="H187" s="173"/>
      <c r="I187" s="173"/>
      <c r="J187" s="173"/>
      <c r="K187" s="173"/>
      <c r="L187" s="173"/>
      <c r="M187" s="13"/>
      <c r="N187" s="13"/>
      <c r="O187" s="13"/>
      <c r="P187" s="13"/>
      <c r="Q187" s="173"/>
      <c r="R187" s="175">
        <f t="array" ref="R187">LEN(C187)-SUM((LEN(C187)-LEN(SUBSTITUTE(C187,修饰列表!$B$2:$B$80,修饰列表!$D$2:$D$80))))</f>
        <v>0</v>
      </c>
    </row>
    <row r="188" spans="1:18">
      <c r="A188" s="171"/>
      <c r="B188" s="181"/>
      <c r="C188" s="182"/>
      <c r="D188" s="182"/>
      <c r="E188" s="18"/>
      <c r="F188" s="173"/>
      <c r="G188" s="173"/>
      <c r="H188" s="173"/>
      <c r="I188" s="173"/>
      <c r="J188" s="173"/>
      <c r="K188" s="173"/>
      <c r="L188" s="173"/>
      <c r="M188" s="13"/>
      <c r="N188" s="13"/>
      <c r="O188" s="13"/>
      <c r="P188" s="13"/>
      <c r="Q188" s="173"/>
      <c r="R188" s="175">
        <f t="array" ref="R188">LEN(C188)-SUM((LEN(C188)-LEN(SUBSTITUTE(C188,修饰列表!$B$2:$B$80,修饰列表!$D$2:$D$80))))</f>
        <v>0</v>
      </c>
    </row>
    <row r="189" spans="1:18">
      <c r="A189" s="171"/>
      <c r="B189" s="181"/>
      <c r="C189" s="182"/>
      <c r="D189" s="182"/>
      <c r="E189" s="18"/>
      <c r="F189" s="173"/>
      <c r="G189" s="173"/>
      <c r="H189" s="173"/>
      <c r="I189" s="173"/>
      <c r="J189" s="173"/>
      <c r="K189" s="173"/>
      <c r="L189" s="173"/>
      <c r="M189" s="13"/>
      <c r="N189" s="13"/>
      <c r="O189" s="13"/>
      <c r="P189" s="13"/>
      <c r="Q189" s="173"/>
      <c r="R189" s="175">
        <f t="array" ref="R189">LEN(C189)-SUM((LEN(C189)-LEN(SUBSTITUTE(C189,修饰列表!$B$2:$B$80,修饰列表!$D$2:$D$80))))</f>
        <v>0</v>
      </c>
    </row>
    <row r="190" spans="1:18">
      <c r="A190" s="171"/>
      <c r="B190" s="181"/>
      <c r="C190" s="182"/>
      <c r="D190" s="182"/>
      <c r="E190" s="18"/>
      <c r="F190" s="173"/>
      <c r="G190" s="173"/>
      <c r="H190" s="173"/>
      <c r="I190" s="173"/>
      <c r="J190" s="173"/>
      <c r="K190" s="173"/>
      <c r="L190" s="173"/>
      <c r="M190" s="13"/>
      <c r="N190" s="13"/>
      <c r="O190" s="13"/>
      <c r="P190" s="13"/>
      <c r="Q190" s="173"/>
      <c r="R190" s="175">
        <f t="array" ref="R190">LEN(C190)-SUM((LEN(C190)-LEN(SUBSTITUTE(C190,修饰列表!$B$2:$B$80,修饰列表!$D$2:$D$80))))</f>
        <v>0</v>
      </c>
    </row>
    <row r="191" spans="1:18">
      <c r="A191" s="171"/>
      <c r="B191" s="181"/>
      <c r="C191" s="182"/>
      <c r="D191" s="182"/>
      <c r="E191" s="18"/>
      <c r="F191" s="173"/>
      <c r="G191" s="173"/>
      <c r="H191" s="173"/>
      <c r="I191" s="173"/>
      <c r="J191" s="173"/>
      <c r="K191" s="173"/>
      <c r="L191" s="173"/>
      <c r="M191" s="13"/>
      <c r="N191" s="13"/>
      <c r="O191" s="13"/>
      <c r="P191" s="13"/>
      <c r="Q191" s="173"/>
      <c r="R191" s="175">
        <f t="array" ref="R191">LEN(C191)-SUM((LEN(C191)-LEN(SUBSTITUTE(C191,修饰列表!$B$2:$B$80,修饰列表!$D$2:$D$80))))</f>
        <v>0</v>
      </c>
    </row>
    <row r="192" spans="1:18">
      <c r="A192" s="171"/>
      <c r="B192" s="181"/>
      <c r="C192" s="182"/>
      <c r="D192" s="182"/>
      <c r="E192" s="18"/>
      <c r="F192" s="173"/>
      <c r="G192" s="173"/>
      <c r="H192" s="173"/>
      <c r="I192" s="173"/>
      <c r="J192" s="173"/>
      <c r="K192" s="173"/>
      <c r="L192" s="173"/>
      <c r="M192" s="13"/>
      <c r="N192" s="13"/>
      <c r="O192" s="13"/>
      <c r="P192" s="13"/>
      <c r="Q192" s="173"/>
      <c r="R192" s="175">
        <f t="array" ref="R192">LEN(C192)-SUM((LEN(C192)-LEN(SUBSTITUTE(C192,修饰列表!$B$2:$B$80,修饰列表!$D$2:$D$80))))</f>
        <v>0</v>
      </c>
    </row>
    <row r="193" spans="1:18">
      <c r="A193" s="171"/>
      <c r="B193" s="181"/>
      <c r="C193" s="182"/>
      <c r="D193" s="182"/>
      <c r="E193" s="18"/>
      <c r="F193" s="173"/>
      <c r="G193" s="173"/>
      <c r="H193" s="173"/>
      <c r="I193" s="173"/>
      <c r="J193" s="173"/>
      <c r="K193" s="173"/>
      <c r="L193" s="173"/>
      <c r="M193" s="13"/>
      <c r="N193" s="13"/>
      <c r="O193" s="13"/>
      <c r="P193" s="13"/>
      <c r="Q193" s="173"/>
      <c r="R193" s="175">
        <f t="array" ref="R193">LEN(C193)-SUM((LEN(C193)-LEN(SUBSTITUTE(C193,修饰列表!$B$2:$B$80,修饰列表!$D$2:$D$80))))</f>
        <v>0</v>
      </c>
    </row>
    <row r="194" spans="1:18">
      <c r="A194" s="171"/>
      <c r="B194" s="181"/>
      <c r="C194" s="182"/>
      <c r="D194" s="182"/>
      <c r="E194" s="18"/>
      <c r="F194" s="173"/>
      <c r="G194" s="173"/>
      <c r="H194" s="173"/>
      <c r="I194" s="173"/>
      <c r="J194" s="173"/>
      <c r="K194" s="173"/>
      <c r="L194" s="173"/>
      <c r="M194" s="13"/>
      <c r="N194" s="13"/>
      <c r="O194" s="13"/>
      <c r="P194" s="13"/>
      <c r="Q194" s="173"/>
      <c r="R194" s="175">
        <f t="array" ref="R194">LEN(C194)-SUM((LEN(C194)-LEN(SUBSTITUTE(C194,修饰列表!$B$2:$B$80,修饰列表!$D$2:$D$80))))</f>
        <v>0</v>
      </c>
    </row>
    <row r="195" spans="1:18">
      <c r="A195" s="171"/>
      <c r="B195" s="181"/>
      <c r="C195" s="182"/>
      <c r="D195" s="182"/>
      <c r="E195" s="18"/>
      <c r="F195" s="173"/>
      <c r="G195" s="173"/>
      <c r="H195" s="173"/>
      <c r="I195" s="173"/>
      <c r="J195" s="173"/>
      <c r="K195" s="173"/>
      <c r="L195" s="173"/>
      <c r="M195" s="13"/>
      <c r="N195" s="13"/>
      <c r="O195" s="13"/>
      <c r="P195" s="13"/>
      <c r="Q195" s="173"/>
      <c r="R195" s="175">
        <f t="array" ref="R195">LEN(C195)-SUM((LEN(C195)-LEN(SUBSTITUTE(C195,修饰列表!$B$2:$B$80,修饰列表!$D$2:$D$80))))</f>
        <v>0</v>
      </c>
    </row>
    <row r="196" spans="1:18">
      <c r="A196" s="171"/>
      <c r="B196" s="181"/>
      <c r="C196" s="182"/>
      <c r="D196" s="182"/>
      <c r="E196" s="18"/>
      <c r="F196" s="173"/>
      <c r="G196" s="173"/>
      <c r="H196" s="173"/>
      <c r="I196" s="173"/>
      <c r="J196" s="173"/>
      <c r="K196" s="173"/>
      <c r="L196" s="173"/>
      <c r="M196" s="13"/>
      <c r="N196" s="13"/>
      <c r="O196" s="13"/>
      <c r="P196" s="13"/>
      <c r="Q196" s="173"/>
      <c r="R196" s="175">
        <f t="array" ref="R196">LEN(C196)-SUM((LEN(C196)-LEN(SUBSTITUTE(C196,修饰列表!$B$2:$B$80,修饰列表!$D$2:$D$80))))</f>
        <v>0</v>
      </c>
    </row>
    <row r="197" spans="1:18">
      <c r="A197" s="171"/>
      <c r="B197" s="181"/>
      <c r="C197" s="182"/>
      <c r="D197" s="182"/>
      <c r="E197" s="18"/>
      <c r="F197" s="173"/>
      <c r="G197" s="173"/>
      <c r="H197" s="173"/>
      <c r="I197" s="173"/>
      <c r="J197" s="173"/>
      <c r="K197" s="173"/>
      <c r="L197" s="173"/>
      <c r="M197" s="13"/>
      <c r="N197" s="13"/>
      <c r="O197" s="13"/>
      <c r="P197" s="13"/>
      <c r="Q197" s="173"/>
      <c r="R197" s="175">
        <f t="array" ref="R197">LEN(C197)-SUM((LEN(C197)-LEN(SUBSTITUTE(C197,修饰列表!$B$2:$B$80,修饰列表!$D$2:$D$80))))</f>
        <v>0</v>
      </c>
    </row>
    <row r="198" spans="1:18">
      <c r="A198" s="171"/>
      <c r="B198" s="181"/>
      <c r="C198" s="182"/>
      <c r="D198" s="182"/>
      <c r="E198" s="18"/>
      <c r="F198" s="173"/>
      <c r="G198" s="173"/>
      <c r="H198" s="173"/>
      <c r="I198" s="173"/>
      <c r="J198" s="173"/>
      <c r="K198" s="173"/>
      <c r="L198" s="173"/>
      <c r="M198" s="13"/>
      <c r="N198" s="13"/>
      <c r="O198" s="13"/>
      <c r="P198" s="13"/>
      <c r="Q198" s="173"/>
      <c r="R198" s="175">
        <f t="array" ref="R198">LEN(C198)-SUM((LEN(C198)-LEN(SUBSTITUTE(C198,修饰列表!$B$2:$B$80,修饰列表!$D$2:$D$80))))</f>
        <v>0</v>
      </c>
    </row>
    <row r="199" spans="1:18">
      <c r="A199" s="171"/>
      <c r="B199" s="181"/>
      <c r="C199" s="182"/>
      <c r="D199" s="182"/>
      <c r="E199" s="18"/>
      <c r="F199" s="173"/>
      <c r="G199" s="173"/>
      <c r="H199" s="173"/>
      <c r="I199" s="173"/>
      <c r="J199" s="173"/>
      <c r="K199" s="173"/>
      <c r="L199" s="173"/>
      <c r="M199" s="13"/>
      <c r="N199" s="13"/>
      <c r="O199" s="13"/>
      <c r="P199" s="13"/>
      <c r="Q199" s="173"/>
      <c r="R199" s="175">
        <f t="array" ref="R199">LEN(C199)-SUM((LEN(C199)-LEN(SUBSTITUTE(C199,修饰列表!$B$2:$B$80,修饰列表!$D$2:$D$80))))</f>
        <v>0</v>
      </c>
    </row>
    <row r="200" spans="1:18">
      <c r="A200" s="171"/>
      <c r="B200" s="181"/>
      <c r="C200" s="182"/>
      <c r="D200" s="182"/>
      <c r="E200" s="18"/>
      <c r="F200" s="173"/>
      <c r="G200" s="173"/>
      <c r="H200" s="173"/>
      <c r="I200" s="173"/>
      <c r="J200" s="173"/>
      <c r="K200" s="173"/>
      <c r="L200" s="173"/>
      <c r="M200" s="13"/>
      <c r="N200" s="13"/>
      <c r="O200" s="13"/>
      <c r="P200" s="13"/>
      <c r="Q200" s="173"/>
      <c r="R200" s="175">
        <f t="array" ref="R200">LEN(C200)-SUM((LEN(C200)-LEN(SUBSTITUTE(C200,修饰列表!$B$2:$B$80,修饰列表!$D$2:$D$80))))</f>
        <v>0</v>
      </c>
    </row>
    <row r="201" spans="1:18">
      <c r="A201" s="171"/>
      <c r="B201" s="181"/>
      <c r="C201" s="182"/>
      <c r="D201" s="182"/>
      <c r="E201" s="18"/>
      <c r="F201" s="173"/>
      <c r="G201" s="173"/>
      <c r="H201" s="173"/>
      <c r="I201" s="173"/>
      <c r="J201" s="173"/>
      <c r="K201" s="173"/>
      <c r="L201" s="173"/>
      <c r="M201" s="13"/>
      <c r="N201" s="13"/>
      <c r="O201" s="13"/>
      <c r="P201" s="13"/>
      <c r="Q201" s="173"/>
      <c r="R201" s="175">
        <f t="array" ref="R201">LEN(C201)-SUM((LEN(C201)-LEN(SUBSTITUTE(C201,修饰列表!$B$2:$B$80,修饰列表!$D$2:$D$80))))</f>
        <v>0</v>
      </c>
    </row>
    <row r="202" spans="1:18">
      <c r="A202" s="171"/>
      <c r="B202" s="181"/>
      <c r="C202" s="182"/>
      <c r="D202" s="182"/>
      <c r="E202" s="18"/>
      <c r="F202" s="173"/>
      <c r="G202" s="173"/>
      <c r="H202" s="173"/>
      <c r="I202" s="173"/>
      <c r="J202" s="173"/>
      <c r="K202" s="173"/>
      <c r="L202" s="173"/>
      <c r="M202" s="13"/>
      <c r="N202" s="13"/>
      <c r="O202" s="13"/>
      <c r="P202" s="13"/>
      <c r="Q202" s="173"/>
      <c r="R202" s="175">
        <f t="array" ref="R202">LEN(C202)-SUM((LEN(C202)-LEN(SUBSTITUTE(C202,修饰列表!$B$2:$B$80,修饰列表!$D$2:$D$80))))</f>
        <v>0</v>
      </c>
    </row>
    <row r="203" spans="1:18">
      <c r="A203" s="171"/>
      <c r="B203" s="181"/>
      <c r="C203" s="182"/>
      <c r="D203" s="182"/>
      <c r="E203" s="18"/>
      <c r="F203" s="173"/>
      <c r="G203" s="173"/>
      <c r="H203" s="173"/>
      <c r="I203" s="173"/>
      <c r="J203" s="173"/>
      <c r="K203" s="173"/>
      <c r="L203" s="173"/>
      <c r="M203" s="13"/>
      <c r="N203" s="13"/>
      <c r="O203" s="13"/>
      <c r="P203" s="13"/>
      <c r="Q203" s="173"/>
      <c r="R203" s="175">
        <f t="array" ref="R203">LEN(C203)-SUM((LEN(C203)-LEN(SUBSTITUTE(C203,修饰列表!$B$2:$B$80,修饰列表!$D$2:$D$80))))</f>
        <v>0</v>
      </c>
    </row>
    <row r="204" spans="1:18">
      <c r="A204" s="171"/>
      <c r="B204" s="181"/>
      <c r="C204" s="182"/>
      <c r="D204" s="182"/>
      <c r="E204" s="18"/>
      <c r="F204" s="173"/>
      <c r="G204" s="173"/>
      <c r="H204" s="173"/>
      <c r="I204" s="173"/>
      <c r="J204" s="173"/>
      <c r="K204" s="173"/>
      <c r="L204" s="173"/>
      <c r="M204" s="13"/>
      <c r="N204" s="13"/>
      <c r="O204" s="13"/>
      <c r="P204" s="13"/>
      <c r="Q204" s="173"/>
      <c r="R204" s="175">
        <f t="array" ref="R204">LEN(C204)-SUM((LEN(C204)-LEN(SUBSTITUTE(C204,修饰列表!$B$2:$B$80,修饰列表!$D$2:$D$80))))</f>
        <v>0</v>
      </c>
    </row>
    <row r="205" spans="1:18">
      <c r="A205" s="171"/>
      <c r="B205" s="181"/>
      <c r="C205" s="182"/>
      <c r="D205" s="182"/>
      <c r="E205" s="18"/>
      <c r="F205" s="173"/>
      <c r="G205" s="173"/>
      <c r="H205" s="173"/>
      <c r="I205" s="173"/>
      <c r="J205" s="173"/>
      <c r="K205" s="173"/>
      <c r="L205" s="173"/>
      <c r="M205" s="13"/>
      <c r="N205" s="13"/>
      <c r="O205" s="13"/>
      <c r="P205" s="13"/>
      <c r="Q205" s="173"/>
      <c r="R205" s="175">
        <f t="array" ref="R205">LEN(C205)-SUM((LEN(C205)-LEN(SUBSTITUTE(C205,修饰列表!$B$2:$B$80,修饰列表!$D$2:$D$80))))</f>
        <v>0</v>
      </c>
    </row>
    <row r="206" spans="1:18">
      <c r="A206" s="171"/>
      <c r="B206" s="181"/>
      <c r="C206" s="182"/>
      <c r="D206" s="182"/>
      <c r="E206" s="18"/>
      <c r="F206" s="173"/>
      <c r="G206" s="173"/>
      <c r="H206" s="173"/>
      <c r="I206" s="173"/>
      <c r="J206" s="173"/>
      <c r="K206" s="173"/>
      <c r="L206" s="173"/>
      <c r="M206" s="13"/>
      <c r="N206" s="13"/>
      <c r="O206" s="13"/>
      <c r="P206" s="13"/>
      <c r="Q206" s="173"/>
      <c r="R206" s="175">
        <f t="array" ref="R206">LEN(C206)-SUM((LEN(C206)-LEN(SUBSTITUTE(C206,修饰列表!$B$2:$B$80,修饰列表!$D$2:$D$80))))</f>
        <v>0</v>
      </c>
    </row>
    <row r="207" spans="1:18">
      <c r="A207" s="171"/>
      <c r="B207" s="181"/>
      <c r="C207" s="182"/>
      <c r="D207" s="182"/>
      <c r="E207" s="18"/>
      <c r="F207" s="173"/>
      <c r="G207" s="173"/>
      <c r="H207" s="173"/>
      <c r="I207" s="173"/>
      <c r="J207" s="173"/>
      <c r="K207" s="173"/>
      <c r="L207" s="173"/>
      <c r="M207" s="13"/>
      <c r="N207" s="13"/>
      <c r="O207" s="13"/>
      <c r="P207" s="13"/>
      <c r="Q207" s="173"/>
      <c r="R207" s="175">
        <f t="array" ref="R207">LEN(C207)-SUM((LEN(C207)-LEN(SUBSTITUTE(C207,修饰列表!$B$2:$B$80,修饰列表!$D$2:$D$80))))</f>
        <v>0</v>
      </c>
    </row>
    <row r="208" spans="1:18">
      <c r="A208" s="171"/>
      <c r="B208" s="181"/>
      <c r="C208" s="182"/>
      <c r="D208" s="182"/>
      <c r="E208" s="18"/>
      <c r="F208" s="173"/>
      <c r="G208" s="173"/>
      <c r="H208" s="173"/>
      <c r="I208" s="173"/>
      <c r="J208" s="173"/>
      <c r="K208" s="173"/>
      <c r="L208" s="173"/>
      <c r="M208" s="13"/>
      <c r="N208" s="13"/>
      <c r="O208" s="13"/>
      <c r="P208" s="13"/>
      <c r="Q208" s="173"/>
      <c r="R208" s="175">
        <f t="array" ref="R208">LEN(C208)-SUM((LEN(C208)-LEN(SUBSTITUTE(C208,修饰列表!$B$2:$B$80,修饰列表!$D$2:$D$80))))</f>
        <v>0</v>
      </c>
    </row>
    <row r="209" spans="1:18">
      <c r="A209" s="171"/>
      <c r="B209" s="181"/>
      <c r="C209" s="182"/>
      <c r="D209" s="182"/>
      <c r="E209" s="18"/>
      <c r="F209" s="173"/>
      <c r="G209" s="173"/>
      <c r="H209" s="173"/>
      <c r="I209" s="173"/>
      <c r="J209" s="173"/>
      <c r="K209" s="173"/>
      <c r="L209" s="173"/>
      <c r="M209" s="13"/>
      <c r="N209" s="13"/>
      <c r="O209" s="13"/>
      <c r="P209" s="13"/>
      <c r="Q209" s="173"/>
      <c r="R209" s="175">
        <f t="array" ref="R209">LEN(C209)-SUM((LEN(C209)-LEN(SUBSTITUTE(C209,修饰列表!$B$2:$B$80,修饰列表!$D$2:$D$80))))</f>
        <v>0</v>
      </c>
    </row>
    <row r="210" spans="1:18">
      <c r="A210" s="171"/>
      <c r="B210" s="181"/>
      <c r="C210" s="182"/>
      <c r="D210" s="182"/>
      <c r="E210" s="18"/>
      <c r="F210" s="173"/>
      <c r="G210" s="173"/>
      <c r="H210" s="173"/>
      <c r="I210" s="173"/>
      <c r="J210" s="173"/>
      <c r="K210" s="173"/>
      <c r="L210" s="173"/>
      <c r="M210" s="13"/>
      <c r="N210" s="13"/>
      <c r="O210" s="13"/>
      <c r="P210" s="13"/>
      <c r="Q210" s="173"/>
      <c r="R210" s="175">
        <f t="array" ref="R210">LEN(C210)-SUM((LEN(C210)-LEN(SUBSTITUTE(C210,修饰列表!$B$2:$B$80,修饰列表!$D$2:$D$80))))</f>
        <v>0</v>
      </c>
    </row>
    <row r="211" spans="1:18">
      <c r="A211" s="171"/>
      <c r="B211" s="181"/>
      <c r="C211" s="182"/>
      <c r="D211" s="182"/>
      <c r="E211" s="18"/>
      <c r="F211" s="173"/>
      <c r="G211" s="173"/>
      <c r="H211" s="173"/>
      <c r="I211" s="173"/>
      <c r="J211" s="173"/>
      <c r="K211" s="173"/>
      <c r="L211" s="173"/>
      <c r="M211" s="13"/>
      <c r="N211" s="13"/>
      <c r="O211" s="13"/>
      <c r="P211" s="13"/>
      <c r="Q211" s="173"/>
      <c r="R211" s="175">
        <f t="array" ref="R211">LEN(C211)-SUM((LEN(C211)-LEN(SUBSTITUTE(C211,修饰列表!$B$2:$B$80,修饰列表!$D$2:$D$80))))</f>
        <v>0</v>
      </c>
    </row>
    <row r="212" spans="1:18">
      <c r="A212" s="171"/>
      <c r="B212" s="181"/>
      <c r="C212" s="182"/>
      <c r="D212" s="182"/>
      <c r="E212" s="18"/>
      <c r="F212" s="173"/>
      <c r="G212" s="173"/>
      <c r="H212" s="173"/>
      <c r="I212" s="173"/>
      <c r="J212" s="173"/>
      <c r="K212" s="173"/>
      <c r="L212" s="173"/>
      <c r="M212" s="13"/>
      <c r="N212" s="13"/>
      <c r="O212" s="13"/>
      <c r="P212" s="13"/>
      <c r="Q212" s="173"/>
      <c r="R212" s="175">
        <f t="array" ref="R212">LEN(C212)-SUM((LEN(C212)-LEN(SUBSTITUTE(C212,修饰列表!$B$2:$B$80,修饰列表!$D$2:$D$80))))</f>
        <v>0</v>
      </c>
    </row>
    <row r="213" spans="1:18">
      <c r="A213" s="171"/>
      <c r="B213" s="181"/>
      <c r="C213" s="182"/>
      <c r="D213" s="182"/>
      <c r="E213" s="18"/>
      <c r="F213" s="173"/>
      <c r="G213" s="173"/>
      <c r="H213" s="173"/>
      <c r="I213" s="173"/>
      <c r="J213" s="173"/>
      <c r="K213" s="173"/>
      <c r="L213" s="173"/>
      <c r="M213" s="13"/>
      <c r="N213" s="13"/>
      <c r="O213" s="13"/>
      <c r="P213" s="13"/>
      <c r="Q213" s="173"/>
      <c r="R213" s="175">
        <f t="array" ref="R213">LEN(C213)-SUM((LEN(C213)-LEN(SUBSTITUTE(C213,修饰列表!$B$2:$B$80,修饰列表!$D$2:$D$80))))</f>
        <v>0</v>
      </c>
    </row>
    <row r="214" spans="1:18">
      <c r="A214" s="171"/>
      <c r="B214" s="181"/>
      <c r="C214" s="182"/>
      <c r="D214" s="182"/>
      <c r="E214" s="18"/>
      <c r="F214" s="173"/>
      <c r="G214" s="173"/>
      <c r="H214" s="173"/>
      <c r="I214" s="173"/>
      <c r="J214" s="173"/>
      <c r="K214" s="173"/>
      <c r="L214" s="173"/>
      <c r="M214" s="13"/>
      <c r="N214" s="13"/>
      <c r="O214" s="13"/>
      <c r="P214" s="13"/>
      <c r="Q214" s="173"/>
      <c r="R214" s="175">
        <f t="array" ref="R214">LEN(C214)-SUM((LEN(C214)-LEN(SUBSTITUTE(C214,修饰列表!$B$2:$B$80,修饰列表!$D$2:$D$80))))</f>
        <v>0</v>
      </c>
    </row>
    <row r="215" spans="1:18">
      <c r="A215" s="171"/>
      <c r="B215" s="181"/>
      <c r="C215" s="182"/>
      <c r="D215" s="182"/>
      <c r="E215" s="18"/>
      <c r="F215" s="173"/>
      <c r="G215" s="173"/>
      <c r="H215" s="173"/>
      <c r="I215" s="173"/>
      <c r="J215" s="173"/>
      <c r="K215" s="173"/>
      <c r="L215" s="173"/>
      <c r="M215" s="13"/>
      <c r="N215" s="13"/>
      <c r="O215" s="13"/>
      <c r="P215" s="13"/>
      <c r="Q215" s="173"/>
      <c r="R215" s="175">
        <f t="array" ref="R215">LEN(C215)-SUM((LEN(C215)-LEN(SUBSTITUTE(C215,修饰列表!$B$2:$B$80,修饰列表!$D$2:$D$80))))</f>
        <v>0</v>
      </c>
    </row>
    <row r="216" spans="1:18">
      <c r="A216" s="171"/>
      <c r="B216" s="181"/>
      <c r="C216" s="182"/>
      <c r="D216" s="182"/>
      <c r="E216" s="18"/>
      <c r="F216" s="173"/>
      <c r="G216" s="173"/>
      <c r="H216" s="173"/>
      <c r="I216" s="173"/>
      <c r="J216" s="173"/>
      <c r="K216" s="173"/>
      <c r="L216" s="173"/>
      <c r="M216" s="13"/>
      <c r="N216" s="13"/>
      <c r="O216" s="13"/>
      <c r="P216" s="13"/>
      <c r="Q216" s="173"/>
      <c r="R216" s="175">
        <f t="array" ref="R216">LEN(C216)-SUM((LEN(C216)-LEN(SUBSTITUTE(C216,修饰列表!$B$2:$B$80,修饰列表!$D$2:$D$80))))</f>
        <v>0</v>
      </c>
    </row>
    <row r="217" spans="1:18">
      <c r="A217" s="171"/>
      <c r="B217" s="181"/>
      <c r="C217" s="182"/>
      <c r="D217" s="182"/>
      <c r="E217" s="18"/>
      <c r="F217" s="173"/>
      <c r="G217" s="173"/>
      <c r="H217" s="173"/>
      <c r="I217" s="173"/>
      <c r="J217" s="173"/>
      <c r="K217" s="173"/>
      <c r="L217" s="173"/>
      <c r="M217" s="13"/>
      <c r="N217" s="13"/>
      <c r="O217" s="13"/>
      <c r="P217" s="13"/>
      <c r="Q217" s="173"/>
      <c r="R217" s="175">
        <f t="array" ref="R217">LEN(C217)-SUM((LEN(C217)-LEN(SUBSTITUTE(C217,修饰列表!$B$2:$B$80,修饰列表!$D$2:$D$80))))</f>
        <v>0</v>
      </c>
    </row>
    <row r="218" spans="1:18">
      <c r="A218" s="171"/>
      <c r="B218" s="181"/>
      <c r="C218" s="182"/>
      <c r="D218" s="182"/>
      <c r="E218" s="18"/>
      <c r="F218" s="173"/>
      <c r="G218" s="173"/>
      <c r="H218" s="173"/>
      <c r="I218" s="173"/>
      <c r="J218" s="173"/>
      <c r="K218" s="173"/>
      <c r="L218" s="173"/>
      <c r="M218" s="13"/>
      <c r="N218" s="13"/>
      <c r="O218" s="13"/>
      <c r="P218" s="13"/>
      <c r="Q218" s="173"/>
      <c r="R218" s="175">
        <f t="array" ref="R218">LEN(C218)-SUM((LEN(C218)-LEN(SUBSTITUTE(C218,修饰列表!$B$2:$B$80,修饰列表!$D$2:$D$80))))</f>
        <v>0</v>
      </c>
    </row>
    <row r="219" spans="1:18">
      <c r="A219" s="171"/>
      <c r="B219" s="181"/>
      <c r="C219" s="182"/>
      <c r="D219" s="182"/>
      <c r="E219" s="18"/>
      <c r="F219" s="173"/>
      <c r="G219" s="173"/>
      <c r="H219" s="173"/>
      <c r="I219" s="173"/>
      <c r="J219" s="173"/>
      <c r="K219" s="173"/>
      <c r="L219" s="173"/>
      <c r="M219" s="13"/>
      <c r="N219" s="13"/>
      <c r="O219" s="13"/>
      <c r="P219" s="13"/>
      <c r="Q219" s="173"/>
      <c r="R219" s="175">
        <f t="array" ref="R219">LEN(C219)-SUM((LEN(C219)-LEN(SUBSTITUTE(C219,修饰列表!$B$2:$B$80,修饰列表!$D$2:$D$80))))</f>
        <v>0</v>
      </c>
    </row>
    <row r="220" spans="1:18">
      <c r="A220" s="171"/>
      <c r="B220" s="181"/>
      <c r="C220" s="182"/>
      <c r="D220" s="182"/>
      <c r="E220" s="18"/>
      <c r="F220" s="173"/>
      <c r="G220" s="173"/>
      <c r="H220" s="173"/>
      <c r="I220" s="173"/>
      <c r="J220" s="173"/>
      <c r="K220" s="173"/>
      <c r="L220" s="173"/>
      <c r="M220" s="13"/>
      <c r="N220" s="13"/>
      <c r="O220" s="13"/>
      <c r="P220" s="13"/>
      <c r="Q220" s="173"/>
      <c r="R220" s="175">
        <f t="array" ref="R220">LEN(C220)-SUM((LEN(C220)-LEN(SUBSTITUTE(C220,修饰列表!$B$2:$B$80,修饰列表!$D$2:$D$80))))</f>
        <v>0</v>
      </c>
    </row>
    <row r="221" spans="1:18">
      <c r="A221" s="171"/>
      <c r="B221" s="181"/>
      <c r="C221" s="182"/>
      <c r="D221" s="182"/>
      <c r="E221" s="18"/>
      <c r="F221" s="173"/>
      <c r="G221" s="173"/>
      <c r="H221" s="173"/>
      <c r="I221" s="173"/>
      <c r="J221" s="173"/>
      <c r="K221" s="173"/>
      <c r="L221" s="173"/>
      <c r="M221" s="13"/>
      <c r="N221" s="13"/>
      <c r="O221" s="13"/>
      <c r="P221" s="13"/>
      <c r="Q221" s="173"/>
      <c r="R221" s="175">
        <f t="array" ref="R221">LEN(C221)-SUM((LEN(C221)-LEN(SUBSTITUTE(C221,修饰列表!$B$2:$B$80,修饰列表!$D$2:$D$80))))</f>
        <v>0</v>
      </c>
    </row>
    <row r="222" spans="1:18">
      <c r="A222" s="171"/>
      <c r="B222" s="181"/>
      <c r="C222" s="182"/>
      <c r="D222" s="182"/>
      <c r="E222" s="18"/>
      <c r="F222" s="173"/>
      <c r="G222" s="173"/>
      <c r="H222" s="173"/>
      <c r="I222" s="173"/>
      <c r="J222" s="173"/>
      <c r="K222" s="173"/>
      <c r="L222" s="173"/>
      <c r="M222" s="13"/>
      <c r="N222" s="13"/>
      <c r="O222" s="13"/>
      <c r="P222" s="13"/>
      <c r="Q222" s="173"/>
      <c r="R222" s="175">
        <f t="array" ref="R222">LEN(C222)-SUM((LEN(C222)-LEN(SUBSTITUTE(C222,修饰列表!$B$2:$B$80,修饰列表!$D$2:$D$80))))</f>
        <v>0</v>
      </c>
    </row>
    <row r="223" spans="1:18">
      <c r="A223" s="171"/>
      <c r="B223" s="181"/>
      <c r="C223" s="182"/>
      <c r="D223" s="182"/>
      <c r="E223" s="18"/>
      <c r="F223" s="173"/>
      <c r="G223" s="173"/>
      <c r="H223" s="173"/>
      <c r="I223" s="173"/>
      <c r="J223" s="173"/>
      <c r="K223" s="173"/>
      <c r="L223" s="173"/>
      <c r="M223" s="13"/>
      <c r="N223" s="13"/>
      <c r="O223" s="13"/>
      <c r="P223" s="13"/>
      <c r="Q223" s="173"/>
      <c r="R223" s="175">
        <f t="array" ref="R223">LEN(C223)-SUM((LEN(C223)-LEN(SUBSTITUTE(C223,修饰列表!$B$2:$B$80,修饰列表!$D$2:$D$80))))</f>
        <v>0</v>
      </c>
    </row>
    <row r="224" spans="1:18">
      <c r="A224" s="171"/>
      <c r="B224" s="181"/>
      <c r="C224" s="182"/>
      <c r="D224" s="182"/>
      <c r="E224" s="18"/>
      <c r="F224" s="173"/>
      <c r="G224" s="173"/>
      <c r="H224" s="173"/>
      <c r="I224" s="173"/>
      <c r="J224" s="173"/>
      <c r="K224" s="173"/>
      <c r="L224" s="173"/>
      <c r="M224" s="13"/>
      <c r="N224" s="13"/>
      <c r="O224" s="13"/>
      <c r="P224" s="13"/>
      <c r="Q224" s="173"/>
      <c r="R224" s="175">
        <f t="array" ref="R224">LEN(C224)-SUM((LEN(C224)-LEN(SUBSTITUTE(C224,修饰列表!$B$2:$B$80,修饰列表!$D$2:$D$80))))</f>
        <v>0</v>
      </c>
    </row>
    <row r="225" spans="1:18">
      <c r="A225" s="171"/>
      <c r="B225" s="181"/>
      <c r="C225" s="182"/>
      <c r="D225" s="182"/>
      <c r="E225" s="18"/>
      <c r="F225" s="173"/>
      <c r="G225" s="173"/>
      <c r="H225" s="173"/>
      <c r="I225" s="173"/>
      <c r="J225" s="173"/>
      <c r="K225" s="173"/>
      <c r="L225" s="173"/>
      <c r="M225" s="13"/>
      <c r="N225" s="13"/>
      <c r="O225" s="13"/>
      <c r="P225" s="13"/>
      <c r="Q225" s="173"/>
      <c r="R225" s="175">
        <f t="array" ref="R225">LEN(C225)-SUM((LEN(C225)-LEN(SUBSTITUTE(C225,修饰列表!$B$2:$B$80,修饰列表!$D$2:$D$80))))</f>
        <v>0</v>
      </c>
    </row>
    <row r="226" spans="1:18">
      <c r="A226" s="171"/>
      <c r="B226" s="181"/>
      <c r="C226" s="182"/>
      <c r="D226" s="182"/>
      <c r="E226" s="18"/>
      <c r="F226" s="173"/>
      <c r="G226" s="173"/>
      <c r="H226" s="173"/>
      <c r="I226" s="173"/>
      <c r="J226" s="173"/>
      <c r="K226" s="173"/>
      <c r="L226" s="173"/>
      <c r="M226" s="13"/>
      <c r="N226" s="13"/>
      <c r="O226" s="13"/>
      <c r="P226" s="13"/>
      <c r="Q226" s="173"/>
      <c r="R226" s="175">
        <f t="array" ref="R226">LEN(C226)-SUM((LEN(C226)-LEN(SUBSTITUTE(C226,修饰列表!$B$2:$B$80,修饰列表!$D$2:$D$80))))</f>
        <v>0</v>
      </c>
    </row>
    <row r="227" spans="1:18">
      <c r="A227" s="171"/>
      <c r="B227" s="181"/>
      <c r="C227" s="182"/>
      <c r="D227" s="182"/>
      <c r="E227" s="18"/>
      <c r="F227" s="173"/>
      <c r="G227" s="173"/>
      <c r="H227" s="173"/>
      <c r="I227" s="173"/>
      <c r="J227" s="173"/>
      <c r="K227" s="173"/>
      <c r="L227" s="173"/>
      <c r="M227" s="13"/>
      <c r="N227" s="13"/>
      <c r="O227" s="13"/>
      <c r="P227" s="13"/>
      <c r="Q227" s="173"/>
      <c r="R227" s="175">
        <f t="array" ref="R227">LEN(C227)-SUM((LEN(C227)-LEN(SUBSTITUTE(C227,修饰列表!$B$2:$B$80,修饰列表!$D$2:$D$80))))</f>
        <v>0</v>
      </c>
    </row>
    <row r="228" spans="1:18">
      <c r="A228" s="171"/>
      <c r="B228" s="181"/>
      <c r="C228" s="182"/>
      <c r="D228" s="182"/>
      <c r="E228" s="18"/>
      <c r="F228" s="173"/>
      <c r="G228" s="173"/>
      <c r="H228" s="173"/>
      <c r="I228" s="173"/>
      <c r="J228" s="173"/>
      <c r="K228" s="173"/>
      <c r="L228" s="173"/>
      <c r="M228" s="13"/>
      <c r="N228" s="13"/>
      <c r="O228" s="13"/>
      <c r="P228" s="13"/>
      <c r="Q228" s="173"/>
      <c r="R228" s="175">
        <f t="array" ref="R228">LEN(C228)-SUM((LEN(C228)-LEN(SUBSTITUTE(C228,修饰列表!$B$2:$B$80,修饰列表!$D$2:$D$80))))</f>
        <v>0</v>
      </c>
    </row>
    <row r="229" spans="1:18">
      <c r="A229" s="171"/>
      <c r="B229" s="181"/>
      <c r="C229" s="182"/>
      <c r="D229" s="182"/>
      <c r="E229" s="18"/>
      <c r="F229" s="173"/>
      <c r="G229" s="173"/>
      <c r="H229" s="173"/>
      <c r="I229" s="173"/>
      <c r="J229" s="173"/>
      <c r="K229" s="173"/>
      <c r="L229" s="173"/>
      <c r="M229" s="13"/>
      <c r="N229" s="13"/>
      <c r="O229" s="13"/>
      <c r="P229" s="13"/>
      <c r="Q229" s="173"/>
      <c r="R229" s="175">
        <f t="array" ref="R229">LEN(C229)-SUM((LEN(C229)-LEN(SUBSTITUTE(C229,修饰列表!$B$2:$B$80,修饰列表!$D$2:$D$80))))</f>
        <v>0</v>
      </c>
    </row>
    <row r="230" spans="1:18">
      <c r="A230" s="171"/>
      <c r="B230" s="181"/>
      <c r="C230" s="182"/>
      <c r="D230" s="182"/>
      <c r="E230" s="18"/>
      <c r="F230" s="173"/>
      <c r="G230" s="173"/>
      <c r="H230" s="173"/>
      <c r="I230" s="173"/>
      <c r="J230" s="173"/>
      <c r="K230" s="173"/>
      <c r="L230" s="173"/>
      <c r="M230" s="13"/>
      <c r="N230" s="13"/>
      <c r="O230" s="13"/>
      <c r="P230" s="13"/>
      <c r="Q230" s="173"/>
      <c r="R230" s="175">
        <f t="array" ref="R230">LEN(C230)-SUM((LEN(C230)-LEN(SUBSTITUTE(C230,修饰列表!$B$2:$B$80,修饰列表!$D$2:$D$80))))</f>
        <v>0</v>
      </c>
    </row>
    <row r="231" spans="1:18">
      <c r="A231" s="171"/>
      <c r="B231" s="181"/>
      <c r="C231" s="182"/>
      <c r="D231" s="182"/>
      <c r="E231" s="18"/>
      <c r="F231" s="173"/>
      <c r="G231" s="173"/>
      <c r="H231" s="173"/>
      <c r="I231" s="173"/>
      <c r="J231" s="173"/>
      <c r="K231" s="173"/>
      <c r="L231" s="173"/>
      <c r="M231" s="13"/>
      <c r="N231" s="13"/>
      <c r="O231" s="13"/>
      <c r="P231" s="13"/>
      <c r="Q231" s="173"/>
      <c r="R231" s="175">
        <f t="array" ref="R231">LEN(C231)-SUM((LEN(C231)-LEN(SUBSTITUTE(C231,修饰列表!$B$2:$B$80,修饰列表!$D$2:$D$80))))</f>
        <v>0</v>
      </c>
    </row>
    <row r="232" spans="1:18">
      <c r="A232" s="171"/>
      <c r="B232" s="181"/>
      <c r="C232" s="182"/>
      <c r="D232" s="182"/>
      <c r="E232" s="18"/>
      <c r="F232" s="173"/>
      <c r="G232" s="173"/>
      <c r="H232" s="173"/>
      <c r="I232" s="173"/>
      <c r="J232" s="173"/>
      <c r="K232" s="173"/>
      <c r="L232" s="173"/>
      <c r="M232" s="13"/>
      <c r="N232" s="13"/>
      <c r="O232" s="13"/>
      <c r="P232" s="13"/>
      <c r="Q232" s="173"/>
      <c r="R232" s="175">
        <f t="array" ref="R232">LEN(C232)-SUM((LEN(C232)-LEN(SUBSTITUTE(C232,修饰列表!$B$2:$B$80,修饰列表!$D$2:$D$80))))</f>
        <v>0</v>
      </c>
    </row>
    <row r="233" spans="1:18">
      <c r="A233" s="171"/>
      <c r="B233" s="181"/>
      <c r="C233" s="182"/>
      <c r="D233" s="182"/>
      <c r="E233" s="18"/>
      <c r="F233" s="173"/>
      <c r="G233" s="173"/>
      <c r="H233" s="173"/>
      <c r="I233" s="173"/>
      <c r="J233" s="173"/>
      <c r="K233" s="173"/>
      <c r="L233" s="173"/>
      <c r="M233" s="13"/>
      <c r="N233" s="13"/>
      <c r="O233" s="13"/>
      <c r="P233" s="13"/>
      <c r="Q233" s="173"/>
      <c r="R233" s="175">
        <f t="array" ref="R233">LEN(C233)-SUM((LEN(C233)-LEN(SUBSTITUTE(C233,修饰列表!$B$2:$B$80,修饰列表!$D$2:$D$80))))</f>
        <v>0</v>
      </c>
    </row>
    <row r="234" spans="1:18">
      <c r="A234" s="171"/>
      <c r="B234" s="181"/>
      <c r="C234" s="182"/>
      <c r="D234" s="182"/>
      <c r="E234" s="18"/>
      <c r="F234" s="173"/>
      <c r="G234" s="173"/>
      <c r="H234" s="173"/>
      <c r="I234" s="173"/>
      <c r="J234" s="173"/>
      <c r="K234" s="173"/>
      <c r="L234" s="173"/>
      <c r="M234" s="13"/>
      <c r="N234" s="13"/>
      <c r="O234" s="13"/>
      <c r="P234" s="13"/>
      <c r="Q234" s="173"/>
      <c r="R234" s="175">
        <f t="array" ref="R234">LEN(C234)-SUM((LEN(C234)-LEN(SUBSTITUTE(C234,修饰列表!$B$2:$B$80,修饰列表!$D$2:$D$80))))</f>
        <v>0</v>
      </c>
    </row>
    <row r="235" spans="1:18">
      <c r="A235" s="171"/>
      <c r="B235" s="181"/>
      <c r="C235" s="182"/>
      <c r="D235" s="182"/>
      <c r="E235" s="18"/>
      <c r="F235" s="173"/>
      <c r="G235" s="173"/>
      <c r="H235" s="173"/>
      <c r="I235" s="173"/>
      <c r="J235" s="173"/>
      <c r="K235" s="173"/>
      <c r="L235" s="173"/>
      <c r="M235" s="13"/>
      <c r="N235" s="13"/>
      <c r="O235" s="13"/>
      <c r="P235" s="13"/>
      <c r="Q235" s="173"/>
      <c r="R235" s="175">
        <f t="array" ref="R235">LEN(C235)-SUM((LEN(C235)-LEN(SUBSTITUTE(C235,修饰列表!$B$2:$B$80,修饰列表!$D$2:$D$80))))</f>
        <v>0</v>
      </c>
    </row>
    <row r="236" spans="1:18">
      <c r="A236" s="171"/>
      <c r="B236" s="181"/>
      <c r="C236" s="182"/>
      <c r="D236" s="182"/>
      <c r="E236" s="18"/>
      <c r="F236" s="173"/>
      <c r="G236" s="173"/>
      <c r="H236" s="173"/>
      <c r="I236" s="173"/>
      <c r="J236" s="173"/>
      <c r="K236" s="173"/>
      <c r="L236" s="173"/>
      <c r="M236" s="13"/>
      <c r="N236" s="13"/>
      <c r="O236" s="13"/>
      <c r="P236" s="13"/>
      <c r="Q236" s="173"/>
      <c r="R236" s="175">
        <f t="array" ref="R236">LEN(C236)-SUM((LEN(C236)-LEN(SUBSTITUTE(C236,修饰列表!$B$2:$B$80,修饰列表!$D$2:$D$80))))</f>
        <v>0</v>
      </c>
    </row>
    <row r="237" spans="1:18">
      <c r="A237" s="171"/>
      <c r="B237" s="181"/>
      <c r="C237" s="182"/>
      <c r="D237" s="182"/>
      <c r="E237" s="18"/>
      <c r="F237" s="173"/>
      <c r="G237" s="173"/>
      <c r="H237" s="173"/>
      <c r="I237" s="173"/>
      <c r="J237" s="173"/>
      <c r="K237" s="173"/>
      <c r="L237" s="173"/>
      <c r="M237" s="13"/>
      <c r="N237" s="13"/>
      <c r="O237" s="13"/>
      <c r="P237" s="13"/>
      <c r="Q237" s="173"/>
      <c r="R237" s="175">
        <f t="array" ref="R237">LEN(C237)-SUM((LEN(C237)-LEN(SUBSTITUTE(C237,修饰列表!$B$2:$B$80,修饰列表!$D$2:$D$80))))</f>
        <v>0</v>
      </c>
    </row>
    <row r="238" spans="1:18">
      <c r="A238" s="171"/>
      <c r="B238" s="181"/>
      <c r="C238" s="182"/>
      <c r="D238" s="182"/>
      <c r="E238" s="18"/>
      <c r="F238" s="173"/>
      <c r="G238" s="173"/>
      <c r="H238" s="173"/>
      <c r="I238" s="173"/>
      <c r="J238" s="173"/>
      <c r="K238" s="173"/>
      <c r="L238" s="173"/>
      <c r="M238" s="13"/>
      <c r="N238" s="13"/>
      <c r="O238" s="13"/>
      <c r="P238" s="13"/>
      <c r="Q238" s="173"/>
      <c r="R238" s="175">
        <f t="array" ref="R238">LEN(C238)-SUM((LEN(C238)-LEN(SUBSTITUTE(C238,修饰列表!$B$2:$B$80,修饰列表!$D$2:$D$80))))</f>
        <v>0</v>
      </c>
    </row>
    <row r="239" spans="1:18">
      <c r="A239" s="171"/>
      <c r="B239" s="181"/>
      <c r="C239" s="182"/>
      <c r="D239" s="182"/>
      <c r="E239" s="18"/>
      <c r="F239" s="173"/>
      <c r="G239" s="173"/>
      <c r="H239" s="173"/>
      <c r="I239" s="173"/>
      <c r="J239" s="173"/>
      <c r="K239" s="173"/>
      <c r="L239" s="173"/>
      <c r="M239" s="13"/>
      <c r="N239" s="13"/>
      <c r="O239" s="13"/>
      <c r="P239" s="13"/>
      <c r="Q239" s="173"/>
      <c r="R239" s="175">
        <f t="array" ref="R239">LEN(C239)-SUM((LEN(C239)-LEN(SUBSTITUTE(C239,修饰列表!$B$2:$B$80,修饰列表!$D$2:$D$80))))</f>
        <v>0</v>
      </c>
    </row>
    <row r="240" spans="1:18">
      <c r="A240" s="171"/>
      <c r="B240" s="181"/>
      <c r="C240" s="182"/>
      <c r="D240" s="182"/>
      <c r="E240" s="18"/>
      <c r="F240" s="173"/>
      <c r="G240" s="173"/>
      <c r="H240" s="173"/>
      <c r="I240" s="173"/>
      <c r="J240" s="173"/>
      <c r="K240" s="173"/>
      <c r="L240" s="173"/>
      <c r="M240" s="13"/>
      <c r="N240" s="13"/>
      <c r="O240" s="13"/>
      <c r="P240" s="13"/>
      <c r="Q240" s="173"/>
      <c r="R240" s="175">
        <f t="array" ref="R240">LEN(C240)-SUM((LEN(C240)-LEN(SUBSTITUTE(C240,修饰列表!$B$2:$B$80,修饰列表!$D$2:$D$80))))</f>
        <v>0</v>
      </c>
    </row>
    <row r="241" spans="1:18">
      <c r="A241" s="171"/>
      <c r="B241" s="181"/>
      <c r="C241" s="182"/>
      <c r="D241" s="182"/>
      <c r="E241" s="18"/>
      <c r="F241" s="173"/>
      <c r="G241" s="173"/>
      <c r="H241" s="173"/>
      <c r="I241" s="173"/>
      <c r="J241" s="173"/>
      <c r="K241" s="173"/>
      <c r="L241" s="173"/>
      <c r="M241" s="13"/>
      <c r="N241" s="13"/>
      <c r="O241" s="13"/>
      <c r="P241" s="13"/>
      <c r="Q241" s="173"/>
      <c r="R241" s="175">
        <f t="array" ref="R241">LEN(C241)-SUM((LEN(C241)-LEN(SUBSTITUTE(C241,修饰列表!$B$2:$B$80,修饰列表!$D$2:$D$80))))</f>
        <v>0</v>
      </c>
    </row>
    <row r="242" spans="1:18">
      <c r="A242" s="171"/>
      <c r="B242" s="181"/>
      <c r="C242" s="182"/>
      <c r="D242" s="182"/>
      <c r="E242" s="18"/>
      <c r="F242" s="173"/>
      <c r="G242" s="173"/>
      <c r="H242" s="173"/>
      <c r="I242" s="173"/>
      <c r="J242" s="173"/>
      <c r="K242" s="173"/>
      <c r="L242" s="173"/>
      <c r="M242" s="13"/>
      <c r="N242" s="13"/>
      <c r="O242" s="13"/>
      <c r="P242" s="13"/>
      <c r="Q242" s="173"/>
      <c r="R242" s="175">
        <f t="array" ref="R242">LEN(C242)-SUM((LEN(C242)-LEN(SUBSTITUTE(C242,修饰列表!$B$2:$B$80,修饰列表!$D$2:$D$80))))</f>
        <v>0</v>
      </c>
    </row>
    <row r="243" spans="1:18">
      <c r="A243" s="171"/>
      <c r="B243" s="181"/>
      <c r="C243" s="182"/>
      <c r="D243" s="182"/>
      <c r="E243" s="18"/>
      <c r="F243" s="173"/>
      <c r="G243" s="173"/>
      <c r="H243" s="173"/>
      <c r="I243" s="173"/>
      <c r="J243" s="173"/>
      <c r="K243" s="173"/>
      <c r="L243" s="173"/>
      <c r="M243" s="13"/>
      <c r="N243" s="13"/>
      <c r="O243" s="13"/>
      <c r="P243" s="13"/>
      <c r="Q243" s="173"/>
      <c r="R243" s="175">
        <f t="array" ref="R243">LEN(C243)-SUM((LEN(C243)-LEN(SUBSTITUTE(C243,修饰列表!$B$2:$B$80,修饰列表!$D$2:$D$80))))</f>
        <v>0</v>
      </c>
    </row>
    <row r="244" spans="1:18">
      <c r="A244" s="171"/>
      <c r="B244" s="181"/>
      <c r="C244" s="182"/>
      <c r="D244" s="182"/>
      <c r="E244" s="18"/>
      <c r="F244" s="173"/>
      <c r="G244" s="173"/>
      <c r="H244" s="173"/>
      <c r="I244" s="173"/>
      <c r="J244" s="173"/>
      <c r="K244" s="173"/>
      <c r="L244" s="173"/>
      <c r="M244" s="13"/>
      <c r="N244" s="13"/>
      <c r="O244" s="13"/>
      <c r="P244" s="13"/>
      <c r="Q244" s="173"/>
      <c r="R244" s="175">
        <f t="array" ref="R244">LEN(C244)-SUM((LEN(C244)-LEN(SUBSTITUTE(C244,修饰列表!$B$2:$B$80,修饰列表!$D$2:$D$80))))</f>
        <v>0</v>
      </c>
    </row>
    <row r="245" spans="1:18">
      <c r="A245" s="171"/>
      <c r="B245" s="181"/>
      <c r="C245" s="182"/>
      <c r="D245" s="182"/>
      <c r="E245" s="18"/>
      <c r="F245" s="173"/>
      <c r="G245" s="173"/>
      <c r="H245" s="173"/>
      <c r="I245" s="173"/>
      <c r="J245" s="173"/>
      <c r="K245" s="173"/>
      <c r="L245" s="173"/>
      <c r="M245" s="13"/>
      <c r="N245" s="13"/>
      <c r="O245" s="13"/>
      <c r="P245" s="13"/>
      <c r="Q245" s="173"/>
      <c r="R245" s="175">
        <f t="array" ref="R245">LEN(C245)-SUM((LEN(C245)-LEN(SUBSTITUTE(C245,修饰列表!$B$2:$B$80,修饰列表!$D$2:$D$80))))</f>
        <v>0</v>
      </c>
    </row>
    <row r="246" spans="1:18">
      <c r="A246" s="171"/>
      <c r="B246" s="181"/>
      <c r="C246" s="182"/>
      <c r="D246" s="182"/>
      <c r="E246" s="18"/>
      <c r="F246" s="173"/>
      <c r="G246" s="173"/>
      <c r="H246" s="173"/>
      <c r="I246" s="173"/>
      <c r="J246" s="173"/>
      <c r="K246" s="173"/>
      <c r="L246" s="173"/>
      <c r="M246" s="13"/>
      <c r="N246" s="13"/>
      <c r="O246" s="13"/>
      <c r="P246" s="13"/>
      <c r="Q246" s="173"/>
      <c r="R246" s="175">
        <f t="array" ref="R246">LEN(C246)-SUM((LEN(C246)-LEN(SUBSTITUTE(C246,修饰列表!$B$2:$B$80,修饰列表!$D$2:$D$80))))</f>
        <v>0</v>
      </c>
    </row>
    <row r="247" spans="1:18">
      <c r="A247" s="171"/>
      <c r="B247" s="181"/>
      <c r="C247" s="182"/>
      <c r="D247" s="182"/>
      <c r="E247" s="18"/>
      <c r="F247" s="173"/>
      <c r="G247" s="173"/>
      <c r="H247" s="173"/>
      <c r="I247" s="173"/>
      <c r="J247" s="173"/>
      <c r="K247" s="173"/>
      <c r="L247" s="173"/>
      <c r="M247" s="13"/>
      <c r="N247" s="13"/>
      <c r="O247" s="13"/>
      <c r="P247" s="13"/>
      <c r="Q247" s="173"/>
      <c r="R247" s="175">
        <f t="array" ref="R247">LEN(C247)-SUM((LEN(C247)-LEN(SUBSTITUTE(C247,修饰列表!$B$2:$B$80,修饰列表!$D$2:$D$80))))</f>
        <v>0</v>
      </c>
    </row>
    <row r="248" spans="1:18">
      <c r="A248" s="171"/>
      <c r="B248" s="181"/>
      <c r="C248" s="182"/>
      <c r="D248" s="182"/>
      <c r="E248" s="18"/>
      <c r="F248" s="173"/>
      <c r="G248" s="173"/>
      <c r="H248" s="173"/>
      <c r="I248" s="173"/>
      <c r="J248" s="173"/>
      <c r="K248" s="173"/>
      <c r="L248" s="173"/>
      <c r="M248" s="13"/>
      <c r="N248" s="13"/>
      <c r="O248" s="13"/>
      <c r="P248" s="13"/>
      <c r="Q248" s="173"/>
      <c r="R248" s="175">
        <f t="array" ref="R248">LEN(C248)-SUM((LEN(C248)-LEN(SUBSTITUTE(C248,修饰列表!$B$2:$B$80,修饰列表!$D$2:$D$80))))</f>
        <v>0</v>
      </c>
    </row>
    <row r="249" spans="1:18">
      <c r="A249" s="171"/>
      <c r="B249" s="181"/>
      <c r="C249" s="182"/>
      <c r="D249" s="182"/>
      <c r="E249" s="18"/>
      <c r="F249" s="173"/>
      <c r="G249" s="173"/>
      <c r="H249" s="173"/>
      <c r="I249" s="173"/>
      <c r="J249" s="173"/>
      <c r="K249" s="173"/>
      <c r="L249" s="173"/>
      <c r="M249" s="13"/>
      <c r="N249" s="13"/>
      <c r="O249" s="13"/>
      <c r="P249" s="13"/>
      <c r="Q249" s="173"/>
      <c r="R249" s="175">
        <f t="array" ref="R249">LEN(C249)-SUM((LEN(C249)-LEN(SUBSTITUTE(C249,修饰列表!$B$2:$B$80,修饰列表!$D$2:$D$80))))</f>
        <v>0</v>
      </c>
    </row>
    <row r="250" spans="1:18">
      <c r="A250" s="171"/>
      <c r="B250" s="181"/>
      <c r="C250" s="182"/>
      <c r="D250" s="182"/>
      <c r="E250" s="18"/>
      <c r="F250" s="173"/>
      <c r="G250" s="173"/>
      <c r="H250" s="173"/>
      <c r="I250" s="173"/>
      <c r="J250" s="173"/>
      <c r="K250" s="173"/>
      <c r="L250" s="173"/>
      <c r="M250" s="13"/>
      <c r="N250" s="13"/>
      <c r="O250" s="13"/>
      <c r="P250" s="13"/>
      <c r="Q250" s="173"/>
      <c r="R250" s="175">
        <f t="array" ref="R250">LEN(C250)-SUM((LEN(C250)-LEN(SUBSTITUTE(C250,修饰列表!$B$2:$B$80,修饰列表!$D$2:$D$80))))</f>
        <v>0</v>
      </c>
    </row>
    <row r="251" spans="1:18">
      <c r="A251" s="171"/>
      <c r="B251" s="181"/>
      <c r="C251" s="182"/>
      <c r="D251" s="182"/>
      <c r="E251" s="18"/>
      <c r="F251" s="173"/>
      <c r="G251" s="173"/>
      <c r="H251" s="173"/>
      <c r="I251" s="173"/>
      <c r="J251" s="173"/>
      <c r="K251" s="173"/>
      <c r="L251" s="173"/>
      <c r="M251" s="13"/>
      <c r="N251" s="13"/>
      <c r="O251" s="13"/>
      <c r="P251" s="13"/>
      <c r="Q251" s="173"/>
      <c r="R251" s="175">
        <f t="array" ref="R251">LEN(C251)-SUM((LEN(C251)-LEN(SUBSTITUTE(C251,修饰列表!$B$2:$B$80,修饰列表!$D$2:$D$80))))</f>
        <v>0</v>
      </c>
    </row>
    <row r="252" spans="1:18">
      <c r="A252" s="171"/>
      <c r="B252" s="181"/>
      <c r="C252" s="182"/>
      <c r="D252" s="182"/>
      <c r="E252" s="18"/>
      <c r="F252" s="173"/>
      <c r="G252" s="173"/>
      <c r="H252" s="173"/>
      <c r="I252" s="173"/>
      <c r="J252" s="173"/>
      <c r="K252" s="173"/>
      <c r="L252" s="173"/>
      <c r="M252" s="13"/>
      <c r="N252" s="13"/>
      <c r="O252" s="13"/>
      <c r="P252" s="13"/>
      <c r="Q252" s="173"/>
      <c r="R252" s="175">
        <f t="array" ref="R252">LEN(C252)-SUM((LEN(C252)-LEN(SUBSTITUTE(C252,修饰列表!$B$2:$B$80,修饰列表!$D$2:$D$80))))</f>
        <v>0</v>
      </c>
    </row>
    <row r="253" spans="1:18">
      <c r="A253" s="171"/>
      <c r="B253" s="181"/>
      <c r="C253" s="182"/>
      <c r="D253" s="182"/>
      <c r="E253" s="18"/>
      <c r="F253" s="173"/>
      <c r="G253" s="173"/>
      <c r="H253" s="173"/>
      <c r="I253" s="173"/>
      <c r="J253" s="173"/>
      <c r="K253" s="173"/>
      <c r="L253" s="173"/>
      <c r="M253" s="13"/>
      <c r="N253" s="13"/>
      <c r="O253" s="13"/>
      <c r="P253" s="13"/>
      <c r="Q253" s="173"/>
      <c r="R253" s="175">
        <f t="array" ref="R253">LEN(C253)-SUM((LEN(C253)-LEN(SUBSTITUTE(C253,修饰列表!$B$2:$B$80,修饰列表!$D$2:$D$80))))</f>
        <v>0</v>
      </c>
    </row>
    <row r="254" spans="1:18">
      <c r="A254" s="171"/>
      <c r="B254" s="181"/>
      <c r="C254" s="182"/>
      <c r="D254" s="182"/>
      <c r="E254" s="18"/>
      <c r="F254" s="173"/>
      <c r="G254" s="173"/>
      <c r="H254" s="173"/>
      <c r="I254" s="173"/>
      <c r="J254" s="173"/>
      <c r="K254" s="173"/>
      <c r="L254" s="173"/>
      <c r="M254" s="13"/>
      <c r="N254" s="13"/>
      <c r="O254" s="13"/>
      <c r="P254" s="13"/>
      <c r="Q254" s="173"/>
      <c r="R254" s="175">
        <f t="array" ref="R254">LEN(C254)-SUM((LEN(C254)-LEN(SUBSTITUTE(C254,修饰列表!$B$2:$B$80,修饰列表!$D$2:$D$80))))</f>
        <v>0</v>
      </c>
    </row>
    <row r="255" spans="1:18">
      <c r="A255" s="171"/>
      <c r="B255" s="181"/>
      <c r="C255" s="182"/>
      <c r="D255" s="182"/>
      <c r="E255" s="18"/>
      <c r="F255" s="173"/>
      <c r="G255" s="173"/>
      <c r="H255" s="173"/>
      <c r="I255" s="173"/>
      <c r="J255" s="173"/>
      <c r="K255" s="173"/>
      <c r="L255" s="173"/>
      <c r="M255" s="13"/>
      <c r="N255" s="13"/>
      <c r="O255" s="13"/>
      <c r="P255" s="13"/>
      <c r="Q255" s="173"/>
      <c r="R255" s="175">
        <f t="array" ref="R255">LEN(C255)-SUM((LEN(C255)-LEN(SUBSTITUTE(C255,修饰列表!$B$2:$B$80,修饰列表!$D$2:$D$80))))</f>
        <v>0</v>
      </c>
    </row>
    <row r="256" spans="1:18">
      <c r="A256" s="171"/>
      <c r="B256" s="181"/>
      <c r="C256" s="182"/>
      <c r="D256" s="182"/>
      <c r="E256" s="18"/>
      <c r="F256" s="173"/>
      <c r="G256" s="173"/>
      <c r="H256" s="173"/>
      <c r="I256" s="173"/>
      <c r="J256" s="173"/>
      <c r="K256" s="173"/>
      <c r="L256" s="173"/>
      <c r="M256" s="13"/>
      <c r="N256" s="13"/>
      <c r="O256" s="13"/>
      <c r="P256" s="13"/>
      <c r="Q256" s="173"/>
      <c r="R256" s="175">
        <f t="array" ref="R256">LEN(C256)-SUM((LEN(C256)-LEN(SUBSTITUTE(C256,修饰列表!$B$2:$B$80,修饰列表!$D$2:$D$80))))</f>
        <v>0</v>
      </c>
    </row>
    <row r="257" spans="1:18">
      <c r="A257" s="171"/>
      <c r="B257" s="181"/>
      <c r="C257" s="182"/>
      <c r="D257" s="182"/>
      <c r="E257" s="18"/>
      <c r="F257" s="173"/>
      <c r="G257" s="173"/>
      <c r="H257" s="173"/>
      <c r="I257" s="173"/>
      <c r="J257" s="173"/>
      <c r="K257" s="173"/>
      <c r="L257" s="173"/>
      <c r="M257" s="13"/>
      <c r="N257" s="13"/>
      <c r="O257" s="13"/>
      <c r="P257" s="13"/>
      <c r="Q257" s="173"/>
      <c r="R257" s="175">
        <f t="array" ref="R257">LEN(C257)-SUM((LEN(C257)-LEN(SUBSTITUTE(C257,修饰列表!$B$2:$B$80,修饰列表!$D$2:$D$80))))</f>
        <v>0</v>
      </c>
    </row>
    <row r="258" spans="1:18">
      <c r="A258" s="171"/>
      <c r="B258" s="181"/>
      <c r="C258" s="182"/>
      <c r="D258" s="182"/>
      <c r="E258" s="18"/>
      <c r="F258" s="173"/>
      <c r="G258" s="173"/>
      <c r="H258" s="173"/>
      <c r="I258" s="173"/>
      <c r="J258" s="173"/>
      <c r="K258" s="173"/>
      <c r="L258" s="173"/>
      <c r="M258" s="13"/>
      <c r="N258" s="13"/>
      <c r="O258" s="13"/>
      <c r="P258" s="13"/>
      <c r="Q258" s="173"/>
      <c r="R258" s="175">
        <f t="array" ref="R258">LEN(C258)-SUM((LEN(C258)-LEN(SUBSTITUTE(C258,修饰列表!$B$2:$B$80,修饰列表!$D$2:$D$80))))</f>
        <v>0</v>
      </c>
    </row>
    <row r="259" spans="1:18">
      <c r="A259" s="171"/>
      <c r="B259" s="181"/>
      <c r="C259" s="182"/>
      <c r="D259" s="182"/>
      <c r="E259" s="18"/>
      <c r="F259" s="173"/>
      <c r="G259" s="173"/>
      <c r="H259" s="173"/>
      <c r="I259" s="173"/>
      <c r="J259" s="173"/>
      <c r="K259" s="173"/>
      <c r="L259" s="173"/>
      <c r="M259" s="13"/>
      <c r="N259" s="13"/>
      <c r="O259" s="13"/>
      <c r="P259" s="13"/>
      <c r="Q259" s="173"/>
      <c r="R259" s="175">
        <f t="array" ref="R259">LEN(C259)-SUM((LEN(C259)-LEN(SUBSTITUTE(C259,修饰列表!$B$2:$B$80,修饰列表!$D$2:$D$80))))</f>
        <v>0</v>
      </c>
    </row>
    <row r="260" spans="1:18">
      <c r="A260" s="171"/>
      <c r="B260" s="181"/>
      <c r="C260" s="182"/>
      <c r="D260" s="182"/>
      <c r="E260" s="18"/>
      <c r="F260" s="173"/>
      <c r="G260" s="173"/>
      <c r="H260" s="173"/>
      <c r="I260" s="173"/>
      <c r="J260" s="173"/>
      <c r="K260" s="173"/>
      <c r="L260" s="173"/>
      <c r="M260" s="13"/>
      <c r="N260" s="13"/>
      <c r="O260" s="13"/>
      <c r="P260" s="13"/>
      <c r="Q260" s="173"/>
      <c r="R260" s="175">
        <f t="array" ref="R260">LEN(C260)-SUM((LEN(C260)-LEN(SUBSTITUTE(C260,修饰列表!$B$2:$B$80,修饰列表!$D$2:$D$80))))</f>
        <v>0</v>
      </c>
    </row>
    <row r="261" spans="1:18">
      <c r="A261" s="171"/>
      <c r="B261" s="181"/>
      <c r="C261" s="182"/>
      <c r="D261" s="182"/>
      <c r="E261" s="18"/>
      <c r="F261" s="173"/>
      <c r="G261" s="173"/>
      <c r="H261" s="173"/>
      <c r="I261" s="173"/>
      <c r="J261" s="173"/>
      <c r="K261" s="173"/>
      <c r="L261" s="173"/>
      <c r="M261" s="13"/>
      <c r="N261" s="13"/>
      <c r="O261" s="13"/>
      <c r="P261" s="13"/>
      <c r="Q261" s="173"/>
      <c r="R261" s="175">
        <f t="array" ref="R261">LEN(C261)-SUM((LEN(C261)-LEN(SUBSTITUTE(C261,修饰列表!$B$2:$B$80,修饰列表!$D$2:$D$80))))</f>
        <v>0</v>
      </c>
    </row>
    <row r="262" spans="1:18">
      <c r="A262" s="171"/>
      <c r="B262" s="181"/>
      <c r="C262" s="182"/>
      <c r="D262" s="182"/>
      <c r="E262" s="18"/>
      <c r="F262" s="173"/>
      <c r="G262" s="173"/>
      <c r="H262" s="173"/>
      <c r="I262" s="173"/>
      <c r="J262" s="173"/>
      <c r="K262" s="173"/>
      <c r="L262" s="173"/>
      <c r="M262" s="13"/>
      <c r="N262" s="13"/>
      <c r="O262" s="13"/>
      <c r="P262" s="13"/>
      <c r="Q262" s="173"/>
      <c r="R262" s="175">
        <f t="array" ref="R262">LEN(C262)-SUM((LEN(C262)-LEN(SUBSTITUTE(C262,修饰列表!$B$2:$B$80,修饰列表!$D$2:$D$80))))</f>
        <v>0</v>
      </c>
    </row>
    <row r="263" spans="1:18">
      <c r="A263" s="171"/>
      <c r="B263" s="181"/>
      <c r="C263" s="182"/>
      <c r="D263" s="182"/>
      <c r="E263" s="18"/>
      <c r="F263" s="173"/>
      <c r="G263" s="173"/>
      <c r="H263" s="173"/>
      <c r="I263" s="173"/>
      <c r="J263" s="173"/>
      <c r="K263" s="173"/>
      <c r="L263" s="173"/>
      <c r="M263" s="13"/>
      <c r="N263" s="13"/>
      <c r="O263" s="13"/>
      <c r="P263" s="13"/>
      <c r="Q263" s="173"/>
      <c r="R263" s="175">
        <f t="array" ref="R263">LEN(C263)-SUM((LEN(C263)-LEN(SUBSTITUTE(C263,修饰列表!$B$2:$B$80,修饰列表!$D$2:$D$80))))</f>
        <v>0</v>
      </c>
    </row>
    <row r="264" spans="1:18">
      <c r="A264" s="171"/>
      <c r="B264" s="181"/>
      <c r="C264" s="182"/>
      <c r="D264" s="182"/>
      <c r="E264" s="18"/>
      <c r="F264" s="173"/>
      <c r="G264" s="173"/>
      <c r="H264" s="173"/>
      <c r="I264" s="173"/>
      <c r="J264" s="173"/>
      <c r="K264" s="173"/>
      <c r="L264" s="173"/>
      <c r="M264" s="13"/>
      <c r="N264" s="13"/>
      <c r="O264" s="13"/>
      <c r="P264" s="13"/>
      <c r="Q264" s="173"/>
      <c r="R264" s="175">
        <f t="array" ref="R264">LEN(C264)-SUM((LEN(C264)-LEN(SUBSTITUTE(C264,修饰列表!$B$2:$B$80,修饰列表!$D$2:$D$80))))</f>
        <v>0</v>
      </c>
    </row>
    <row r="265" spans="1:18">
      <c r="A265" s="171"/>
      <c r="B265" s="181"/>
      <c r="C265" s="182"/>
      <c r="D265" s="182"/>
      <c r="E265" s="18"/>
      <c r="F265" s="173"/>
      <c r="G265" s="173"/>
      <c r="H265" s="173"/>
      <c r="I265" s="173"/>
      <c r="J265" s="173"/>
      <c r="K265" s="173"/>
      <c r="L265" s="173"/>
      <c r="M265" s="13"/>
      <c r="N265" s="13"/>
      <c r="O265" s="13"/>
      <c r="P265" s="13"/>
      <c r="Q265" s="173"/>
      <c r="R265" s="175">
        <f t="array" ref="R265">LEN(C265)-SUM((LEN(C265)-LEN(SUBSTITUTE(C265,修饰列表!$B$2:$B$80,修饰列表!$D$2:$D$80))))</f>
        <v>0</v>
      </c>
    </row>
    <row r="266" spans="1:18">
      <c r="A266" s="171"/>
      <c r="B266" s="181"/>
      <c r="C266" s="182"/>
      <c r="D266" s="182"/>
      <c r="E266" s="18"/>
      <c r="F266" s="173"/>
      <c r="G266" s="173"/>
      <c r="H266" s="173"/>
      <c r="I266" s="173"/>
      <c r="J266" s="173"/>
      <c r="K266" s="173"/>
      <c r="L266" s="173"/>
      <c r="M266" s="13"/>
      <c r="N266" s="13"/>
      <c r="O266" s="13"/>
      <c r="P266" s="13"/>
      <c r="Q266" s="173"/>
      <c r="R266" s="175">
        <f t="array" ref="R266">LEN(C266)-SUM((LEN(C266)-LEN(SUBSTITUTE(C266,修饰列表!$B$2:$B$80,修饰列表!$D$2:$D$80))))</f>
        <v>0</v>
      </c>
    </row>
    <row r="267" spans="1:18">
      <c r="A267" s="171"/>
      <c r="B267" s="181"/>
      <c r="C267" s="182"/>
      <c r="D267" s="182"/>
      <c r="E267" s="18"/>
      <c r="F267" s="173"/>
      <c r="G267" s="173"/>
      <c r="H267" s="173"/>
      <c r="I267" s="173"/>
      <c r="J267" s="173"/>
      <c r="K267" s="173"/>
      <c r="L267" s="173"/>
      <c r="M267" s="13"/>
      <c r="N267" s="13"/>
      <c r="O267" s="13"/>
      <c r="P267" s="13"/>
      <c r="Q267" s="173"/>
      <c r="R267" s="175">
        <f t="array" ref="R267">LEN(C267)-SUM((LEN(C267)-LEN(SUBSTITUTE(C267,修饰列表!$B$2:$B$80,修饰列表!$D$2:$D$80))))</f>
        <v>0</v>
      </c>
    </row>
    <row r="268" spans="1:18">
      <c r="A268" s="171"/>
      <c r="B268" s="181"/>
      <c r="C268" s="182"/>
      <c r="D268" s="182"/>
      <c r="E268" s="18"/>
      <c r="F268" s="173"/>
      <c r="G268" s="173"/>
      <c r="H268" s="173"/>
      <c r="I268" s="173"/>
      <c r="J268" s="173"/>
      <c r="K268" s="173"/>
      <c r="L268" s="173"/>
      <c r="M268" s="13"/>
      <c r="N268" s="13"/>
      <c r="O268" s="13"/>
      <c r="P268" s="13"/>
      <c r="Q268" s="173"/>
      <c r="R268" s="175">
        <f t="array" ref="R268">LEN(C268)-SUM((LEN(C268)-LEN(SUBSTITUTE(C268,修饰列表!$B$2:$B$80,修饰列表!$D$2:$D$80))))</f>
        <v>0</v>
      </c>
    </row>
    <row r="269" spans="1:18">
      <c r="A269" s="171"/>
      <c r="B269" s="181"/>
      <c r="C269" s="182"/>
      <c r="D269" s="182"/>
      <c r="E269" s="18"/>
      <c r="F269" s="173"/>
      <c r="G269" s="173"/>
      <c r="H269" s="173"/>
      <c r="I269" s="173"/>
      <c r="J269" s="173"/>
      <c r="K269" s="173"/>
      <c r="L269" s="173"/>
      <c r="M269" s="13"/>
      <c r="N269" s="13"/>
      <c r="O269" s="13"/>
      <c r="P269" s="13"/>
      <c r="Q269" s="173"/>
      <c r="R269" s="175">
        <f t="array" ref="R269">LEN(C269)-SUM((LEN(C269)-LEN(SUBSTITUTE(C269,修饰列表!$B$2:$B$80,修饰列表!$D$2:$D$80))))</f>
        <v>0</v>
      </c>
    </row>
    <row r="270" spans="1:18">
      <c r="A270" s="171"/>
      <c r="B270" s="181"/>
      <c r="C270" s="182"/>
      <c r="D270" s="182"/>
      <c r="E270" s="18"/>
      <c r="F270" s="173"/>
      <c r="G270" s="173"/>
      <c r="H270" s="173"/>
      <c r="I270" s="173"/>
      <c r="J270" s="173"/>
      <c r="K270" s="173"/>
      <c r="L270" s="173"/>
      <c r="M270" s="13"/>
      <c r="N270" s="13"/>
      <c r="O270" s="13"/>
      <c r="P270" s="13"/>
      <c r="Q270" s="173"/>
      <c r="R270" s="175">
        <f t="array" ref="R270">LEN(C270)-SUM((LEN(C270)-LEN(SUBSTITUTE(C270,修饰列表!$B$2:$B$80,修饰列表!$D$2:$D$80))))</f>
        <v>0</v>
      </c>
    </row>
    <row r="271" spans="1:18">
      <c r="A271" s="171"/>
      <c r="B271" s="181"/>
      <c r="C271" s="182"/>
      <c r="D271" s="182"/>
      <c r="E271" s="18"/>
      <c r="F271" s="173"/>
      <c r="G271" s="173"/>
      <c r="H271" s="173"/>
      <c r="I271" s="173"/>
      <c r="J271" s="173"/>
      <c r="K271" s="173"/>
      <c r="L271" s="173"/>
      <c r="M271" s="13"/>
      <c r="N271" s="13"/>
      <c r="O271" s="13"/>
      <c r="P271" s="13"/>
      <c r="Q271" s="173"/>
      <c r="R271" s="175">
        <f t="array" ref="R271">LEN(C271)-SUM((LEN(C271)-LEN(SUBSTITUTE(C271,修饰列表!$B$2:$B$80,修饰列表!$D$2:$D$80))))</f>
        <v>0</v>
      </c>
    </row>
    <row r="272" spans="1:18">
      <c r="A272" s="171"/>
      <c r="B272" s="181"/>
      <c r="C272" s="182"/>
      <c r="D272" s="182"/>
      <c r="E272" s="18"/>
      <c r="F272" s="173"/>
      <c r="G272" s="173"/>
      <c r="H272" s="173"/>
      <c r="I272" s="173"/>
      <c r="J272" s="173"/>
      <c r="K272" s="173"/>
      <c r="L272" s="173"/>
      <c r="M272" s="13"/>
      <c r="N272" s="13"/>
      <c r="O272" s="13"/>
      <c r="P272" s="13"/>
      <c r="Q272" s="173"/>
      <c r="R272" s="175">
        <f t="array" ref="R272">LEN(C272)-SUM((LEN(C272)-LEN(SUBSTITUTE(C272,修饰列表!$B$2:$B$80,修饰列表!$D$2:$D$80))))</f>
        <v>0</v>
      </c>
    </row>
    <row r="273" spans="1:18">
      <c r="A273" s="171"/>
      <c r="B273" s="181"/>
      <c r="C273" s="182"/>
      <c r="D273" s="182"/>
      <c r="E273" s="18"/>
      <c r="F273" s="173"/>
      <c r="G273" s="173"/>
      <c r="H273" s="173"/>
      <c r="I273" s="173"/>
      <c r="J273" s="173"/>
      <c r="K273" s="173"/>
      <c r="L273" s="173"/>
      <c r="M273" s="13"/>
      <c r="N273" s="13"/>
      <c r="O273" s="13"/>
      <c r="P273" s="13"/>
      <c r="Q273" s="173"/>
      <c r="R273" s="175">
        <f t="array" ref="R273">LEN(C273)-SUM((LEN(C273)-LEN(SUBSTITUTE(C273,修饰列表!$B$2:$B$80,修饰列表!$D$2:$D$80))))</f>
        <v>0</v>
      </c>
    </row>
    <row r="274" spans="1:18">
      <c r="A274" s="171"/>
      <c r="B274" s="181"/>
      <c r="C274" s="182"/>
      <c r="D274" s="182"/>
      <c r="E274" s="18"/>
      <c r="F274" s="173"/>
      <c r="G274" s="173"/>
      <c r="H274" s="173"/>
      <c r="I274" s="173"/>
      <c r="J274" s="173"/>
      <c r="K274" s="173"/>
      <c r="L274" s="173"/>
      <c r="M274" s="13"/>
      <c r="N274" s="13"/>
      <c r="O274" s="13"/>
      <c r="P274" s="13"/>
      <c r="Q274" s="173"/>
      <c r="R274" s="175">
        <f t="array" ref="R274">LEN(C274)-SUM((LEN(C274)-LEN(SUBSTITUTE(C274,修饰列表!$B$2:$B$80,修饰列表!$D$2:$D$80))))</f>
        <v>0</v>
      </c>
    </row>
    <row r="275" spans="1:18">
      <c r="A275" s="171"/>
      <c r="B275" s="181"/>
      <c r="C275" s="182"/>
      <c r="D275" s="182"/>
      <c r="E275" s="18"/>
      <c r="F275" s="173"/>
      <c r="G275" s="173"/>
      <c r="H275" s="173"/>
      <c r="I275" s="173"/>
      <c r="J275" s="173"/>
      <c r="K275" s="173"/>
      <c r="L275" s="173"/>
      <c r="M275" s="13"/>
      <c r="N275" s="13"/>
      <c r="O275" s="13"/>
      <c r="P275" s="13"/>
      <c r="Q275" s="173"/>
      <c r="R275" s="175">
        <f t="array" ref="R275">LEN(C275)-SUM((LEN(C275)-LEN(SUBSTITUTE(C275,修饰列表!$B$2:$B$80,修饰列表!$D$2:$D$80))))</f>
        <v>0</v>
      </c>
    </row>
    <row r="276" spans="1:18">
      <c r="A276" s="171"/>
      <c r="B276" s="181"/>
      <c r="C276" s="182"/>
      <c r="D276" s="182"/>
      <c r="E276" s="18"/>
      <c r="F276" s="173"/>
      <c r="G276" s="173"/>
      <c r="H276" s="173"/>
      <c r="I276" s="173"/>
      <c r="J276" s="173"/>
      <c r="K276" s="173"/>
      <c r="L276" s="173"/>
      <c r="M276" s="13"/>
      <c r="N276" s="13"/>
      <c r="O276" s="13"/>
      <c r="P276" s="13"/>
      <c r="Q276" s="173"/>
      <c r="R276" s="175">
        <f t="array" ref="R276">LEN(C276)-SUM((LEN(C276)-LEN(SUBSTITUTE(C276,修饰列表!$B$2:$B$80,修饰列表!$D$2:$D$80))))</f>
        <v>0</v>
      </c>
    </row>
    <row r="277" spans="1:18">
      <c r="A277" s="171"/>
      <c r="B277" s="181"/>
      <c r="C277" s="182"/>
      <c r="D277" s="182"/>
      <c r="E277" s="18"/>
      <c r="F277" s="173"/>
      <c r="G277" s="173"/>
      <c r="H277" s="173"/>
      <c r="I277" s="173"/>
      <c r="J277" s="173"/>
      <c r="K277" s="173"/>
      <c r="L277" s="173"/>
      <c r="M277" s="13"/>
      <c r="N277" s="13"/>
      <c r="O277" s="13"/>
      <c r="P277" s="13"/>
      <c r="Q277" s="173"/>
      <c r="R277" s="175">
        <f t="array" ref="R277">LEN(C277)-SUM((LEN(C277)-LEN(SUBSTITUTE(C277,修饰列表!$B$2:$B$80,修饰列表!$D$2:$D$80))))</f>
        <v>0</v>
      </c>
    </row>
    <row r="278" spans="1:18">
      <c r="A278" s="171"/>
      <c r="B278" s="181"/>
      <c r="C278" s="182"/>
      <c r="D278" s="182"/>
      <c r="E278" s="18"/>
      <c r="F278" s="173"/>
      <c r="G278" s="173"/>
      <c r="H278" s="173"/>
      <c r="I278" s="173"/>
      <c r="J278" s="173"/>
      <c r="K278" s="173"/>
      <c r="L278" s="173"/>
      <c r="M278" s="13"/>
      <c r="N278" s="13"/>
      <c r="O278" s="13"/>
      <c r="P278" s="13"/>
      <c r="Q278" s="173"/>
      <c r="R278" s="175">
        <f t="array" ref="R278">LEN(C278)-SUM((LEN(C278)-LEN(SUBSTITUTE(C278,修饰列表!$B$2:$B$80,修饰列表!$D$2:$D$80))))</f>
        <v>0</v>
      </c>
    </row>
    <row r="279" spans="1:18">
      <c r="A279" s="171"/>
      <c r="B279" s="181"/>
      <c r="C279" s="182"/>
      <c r="D279" s="182"/>
      <c r="E279" s="18"/>
      <c r="F279" s="173"/>
      <c r="G279" s="173"/>
      <c r="H279" s="173"/>
      <c r="I279" s="173"/>
      <c r="J279" s="173"/>
      <c r="K279" s="173"/>
      <c r="L279" s="173"/>
      <c r="M279" s="13"/>
      <c r="N279" s="13"/>
      <c r="O279" s="13"/>
      <c r="P279" s="13"/>
      <c r="Q279" s="173"/>
      <c r="R279" s="175">
        <f t="array" ref="R279">LEN(C279)-SUM((LEN(C279)-LEN(SUBSTITUTE(C279,修饰列表!$B$2:$B$80,修饰列表!$D$2:$D$80))))</f>
        <v>0</v>
      </c>
    </row>
    <row r="280" spans="1:18">
      <c r="A280" s="171"/>
      <c r="B280" s="181"/>
      <c r="C280" s="182"/>
      <c r="D280" s="182"/>
      <c r="E280" s="18"/>
      <c r="F280" s="173"/>
      <c r="G280" s="173"/>
      <c r="H280" s="173"/>
      <c r="I280" s="173"/>
      <c r="J280" s="173"/>
      <c r="K280" s="173"/>
      <c r="L280" s="173"/>
      <c r="M280" s="13"/>
      <c r="N280" s="13"/>
      <c r="O280" s="13"/>
      <c r="P280" s="13"/>
      <c r="Q280" s="173"/>
      <c r="R280" s="175">
        <f t="array" ref="R280">LEN(C280)-SUM((LEN(C280)-LEN(SUBSTITUTE(C280,修饰列表!$B$2:$B$80,修饰列表!$D$2:$D$80))))</f>
        <v>0</v>
      </c>
    </row>
    <row r="281" spans="1:18">
      <c r="A281" s="171"/>
      <c r="B281" s="181"/>
      <c r="C281" s="182"/>
      <c r="D281" s="182"/>
      <c r="E281" s="18"/>
      <c r="F281" s="173"/>
      <c r="G281" s="173"/>
      <c r="H281" s="173"/>
      <c r="I281" s="173"/>
      <c r="J281" s="173"/>
      <c r="K281" s="173"/>
      <c r="L281" s="173"/>
      <c r="M281" s="13"/>
      <c r="N281" s="13"/>
      <c r="O281" s="13"/>
      <c r="P281" s="13"/>
      <c r="Q281" s="173"/>
      <c r="R281" s="175">
        <f t="array" ref="R281">LEN(C281)-SUM((LEN(C281)-LEN(SUBSTITUTE(C281,修饰列表!$B$2:$B$80,修饰列表!$D$2:$D$80))))</f>
        <v>0</v>
      </c>
    </row>
    <row r="282" spans="1:18">
      <c r="A282" s="171"/>
      <c r="B282" s="181"/>
      <c r="C282" s="182"/>
      <c r="D282" s="182"/>
      <c r="E282" s="18"/>
      <c r="F282" s="173"/>
      <c r="G282" s="173"/>
      <c r="H282" s="173"/>
      <c r="I282" s="173"/>
      <c r="J282" s="173"/>
      <c r="K282" s="173"/>
      <c r="L282" s="173"/>
      <c r="M282" s="13"/>
      <c r="N282" s="13"/>
      <c r="O282" s="13"/>
      <c r="P282" s="13"/>
      <c r="Q282" s="173"/>
      <c r="R282" s="175">
        <f t="array" ref="R282">LEN(C282)-SUM((LEN(C282)-LEN(SUBSTITUTE(C282,修饰列表!$B$2:$B$80,修饰列表!$D$2:$D$80))))</f>
        <v>0</v>
      </c>
    </row>
    <row r="283" spans="1:18">
      <c r="A283" s="171"/>
      <c r="B283" s="181"/>
      <c r="C283" s="182"/>
      <c r="D283" s="182"/>
      <c r="E283" s="18"/>
      <c r="F283" s="173"/>
      <c r="G283" s="173"/>
      <c r="H283" s="173"/>
      <c r="I283" s="173"/>
      <c r="J283" s="173"/>
      <c r="K283" s="173"/>
      <c r="L283" s="173"/>
      <c r="M283" s="13"/>
      <c r="N283" s="13"/>
      <c r="O283" s="13"/>
      <c r="P283" s="13"/>
      <c r="Q283" s="173"/>
      <c r="R283" s="175">
        <f t="array" ref="R283">LEN(C283)-SUM((LEN(C283)-LEN(SUBSTITUTE(C283,修饰列表!$B$2:$B$80,修饰列表!$D$2:$D$80))))</f>
        <v>0</v>
      </c>
    </row>
    <row r="284" spans="1:18">
      <c r="A284" s="171"/>
      <c r="B284" s="181"/>
      <c r="C284" s="182"/>
      <c r="D284" s="182"/>
      <c r="E284" s="18"/>
      <c r="F284" s="173"/>
      <c r="G284" s="173"/>
      <c r="H284" s="173"/>
      <c r="I284" s="173"/>
      <c r="J284" s="173"/>
      <c r="K284" s="173"/>
      <c r="L284" s="173"/>
      <c r="M284" s="13"/>
      <c r="N284" s="13"/>
      <c r="O284" s="13"/>
      <c r="P284" s="13"/>
      <c r="Q284" s="173"/>
      <c r="R284" s="175">
        <f t="array" ref="R284">LEN(C284)-SUM((LEN(C284)-LEN(SUBSTITUTE(C284,修饰列表!$B$2:$B$80,修饰列表!$D$2:$D$80))))</f>
        <v>0</v>
      </c>
    </row>
    <row r="285" spans="1:18">
      <c r="A285" s="171"/>
      <c r="B285" s="181"/>
      <c r="C285" s="182"/>
      <c r="D285" s="182"/>
      <c r="E285" s="18"/>
      <c r="F285" s="173"/>
      <c r="G285" s="173"/>
      <c r="H285" s="173"/>
      <c r="I285" s="173"/>
      <c r="J285" s="173"/>
      <c r="K285" s="173"/>
      <c r="L285" s="173"/>
      <c r="M285" s="13"/>
      <c r="N285" s="13"/>
      <c r="O285" s="13"/>
      <c r="P285" s="13"/>
      <c r="Q285" s="173"/>
      <c r="R285" s="175">
        <f t="array" ref="R285">LEN(C285)-SUM((LEN(C285)-LEN(SUBSTITUTE(C285,修饰列表!$B$2:$B$80,修饰列表!$D$2:$D$80))))</f>
        <v>0</v>
      </c>
    </row>
    <row r="286" spans="1:18">
      <c r="A286" s="171"/>
      <c r="B286" s="181"/>
      <c r="C286" s="182"/>
      <c r="D286" s="182"/>
      <c r="E286" s="18"/>
      <c r="F286" s="173"/>
      <c r="G286" s="173"/>
      <c r="H286" s="173"/>
      <c r="I286" s="173"/>
      <c r="J286" s="173"/>
      <c r="K286" s="173"/>
      <c r="L286" s="173"/>
      <c r="M286" s="13"/>
      <c r="N286" s="13"/>
      <c r="O286" s="13"/>
      <c r="P286" s="13"/>
      <c r="Q286" s="173"/>
      <c r="R286" s="175">
        <f t="array" ref="R286">LEN(C286)-SUM((LEN(C286)-LEN(SUBSTITUTE(C286,修饰列表!$B$2:$B$80,修饰列表!$D$2:$D$80))))</f>
        <v>0</v>
      </c>
    </row>
    <row r="287" spans="1:18">
      <c r="A287" s="171"/>
      <c r="B287" s="181"/>
      <c r="C287" s="182"/>
      <c r="D287" s="182"/>
      <c r="E287" s="18"/>
      <c r="F287" s="173"/>
      <c r="G287" s="173"/>
      <c r="H287" s="173"/>
      <c r="I287" s="173"/>
      <c r="J287" s="173"/>
      <c r="K287" s="173"/>
      <c r="L287" s="173"/>
      <c r="M287" s="13"/>
      <c r="N287" s="13"/>
      <c r="O287" s="13"/>
      <c r="P287" s="13"/>
      <c r="Q287" s="173"/>
      <c r="R287" s="175">
        <f t="array" ref="R287">LEN(C287)-SUM((LEN(C287)-LEN(SUBSTITUTE(C287,修饰列表!$B$2:$B$80,修饰列表!$D$2:$D$80))))</f>
        <v>0</v>
      </c>
    </row>
    <row r="288" spans="1:18">
      <c r="A288" s="171"/>
      <c r="B288" s="181"/>
      <c r="C288" s="182"/>
      <c r="D288" s="182"/>
      <c r="E288" s="18"/>
      <c r="F288" s="173"/>
      <c r="G288" s="173"/>
      <c r="H288" s="173"/>
      <c r="I288" s="173"/>
      <c r="J288" s="173"/>
      <c r="K288" s="173"/>
      <c r="L288" s="173"/>
      <c r="M288" s="13"/>
      <c r="N288" s="13"/>
      <c r="O288" s="13"/>
      <c r="P288" s="13"/>
      <c r="Q288" s="173"/>
      <c r="R288" s="175">
        <f t="array" ref="R288">LEN(C288)-SUM((LEN(C288)-LEN(SUBSTITUTE(C288,修饰列表!$B$2:$B$80,修饰列表!$D$2:$D$80))))</f>
        <v>0</v>
      </c>
    </row>
    <row r="289" spans="1:18">
      <c r="A289" s="171"/>
      <c r="B289" s="181"/>
      <c r="C289" s="182"/>
      <c r="D289" s="182"/>
      <c r="E289" s="18"/>
      <c r="F289" s="173"/>
      <c r="G289" s="173"/>
      <c r="H289" s="173"/>
      <c r="I289" s="173"/>
      <c r="J289" s="173"/>
      <c r="K289" s="173"/>
      <c r="L289" s="173"/>
      <c r="M289" s="13"/>
      <c r="N289" s="13"/>
      <c r="O289" s="13"/>
      <c r="P289" s="13"/>
      <c r="Q289" s="173"/>
      <c r="R289" s="175">
        <f t="array" ref="R289">LEN(C289)-SUM((LEN(C289)-LEN(SUBSTITUTE(C289,修饰列表!$B$2:$B$80,修饰列表!$D$2:$D$80))))</f>
        <v>0</v>
      </c>
    </row>
    <row r="290" spans="1:18">
      <c r="A290" s="171"/>
      <c r="B290" s="181"/>
      <c r="C290" s="182"/>
      <c r="D290" s="182"/>
      <c r="E290" s="18"/>
      <c r="F290" s="173"/>
      <c r="G290" s="173"/>
      <c r="H290" s="173"/>
      <c r="I290" s="173"/>
      <c r="J290" s="173"/>
      <c r="K290" s="173"/>
      <c r="L290" s="173"/>
      <c r="M290" s="13"/>
      <c r="N290" s="13"/>
      <c r="O290" s="13"/>
      <c r="P290" s="13"/>
      <c r="Q290" s="173"/>
      <c r="R290" s="175">
        <f t="array" ref="R290">LEN(C290)-SUM((LEN(C290)-LEN(SUBSTITUTE(C290,修饰列表!$B$2:$B$80,修饰列表!$D$2:$D$80))))</f>
        <v>0</v>
      </c>
    </row>
    <row r="291" spans="1:18">
      <c r="A291" s="171"/>
      <c r="B291" s="181"/>
      <c r="C291" s="182"/>
      <c r="D291" s="182"/>
      <c r="E291" s="18"/>
      <c r="F291" s="173"/>
      <c r="G291" s="173"/>
      <c r="H291" s="173"/>
      <c r="I291" s="173"/>
      <c r="J291" s="173"/>
      <c r="K291" s="173"/>
      <c r="L291" s="173"/>
      <c r="M291" s="13"/>
      <c r="N291" s="13"/>
      <c r="O291" s="13"/>
      <c r="P291" s="13"/>
      <c r="Q291" s="173"/>
      <c r="R291" s="175">
        <f t="array" ref="R291">LEN(C291)-SUM((LEN(C291)-LEN(SUBSTITUTE(C291,修饰列表!$B$2:$B$80,修饰列表!$D$2:$D$80))))</f>
        <v>0</v>
      </c>
    </row>
    <row r="292" spans="1:18">
      <c r="A292" s="171"/>
      <c r="B292" s="181"/>
      <c r="C292" s="182"/>
      <c r="D292" s="182"/>
      <c r="E292" s="18"/>
      <c r="F292" s="173"/>
      <c r="G292" s="173"/>
      <c r="H292" s="173"/>
      <c r="I292" s="173"/>
      <c r="J292" s="173"/>
      <c r="K292" s="173"/>
      <c r="L292" s="173"/>
      <c r="M292" s="13"/>
      <c r="N292" s="13"/>
      <c r="O292" s="13"/>
      <c r="P292" s="13"/>
      <c r="Q292" s="173"/>
      <c r="R292" s="175">
        <f t="array" ref="R292">LEN(C292)-SUM((LEN(C292)-LEN(SUBSTITUTE(C292,修饰列表!$B$2:$B$80,修饰列表!$D$2:$D$80))))</f>
        <v>0</v>
      </c>
    </row>
    <row r="293" spans="1:18">
      <c r="A293" s="171"/>
      <c r="B293" s="181"/>
      <c r="C293" s="182"/>
      <c r="D293" s="182"/>
      <c r="E293" s="18"/>
      <c r="F293" s="173"/>
      <c r="G293" s="173"/>
      <c r="H293" s="173"/>
      <c r="I293" s="173"/>
      <c r="J293" s="173"/>
      <c r="K293" s="173"/>
      <c r="L293" s="173"/>
      <c r="M293" s="13"/>
      <c r="N293" s="13"/>
      <c r="O293" s="13"/>
      <c r="P293" s="13"/>
      <c r="Q293" s="173"/>
      <c r="R293" s="175">
        <f t="array" ref="R293">LEN(C293)-SUM((LEN(C293)-LEN(SUBSTITUTE(C293,修饰列表!$B$2:$B$80,修饰列表!$D$2:$D$80))))</f>
        <v>0</v>
      </c>
    </row>
    <row r="294" spans="1:18">
      <c r="A294" s="171"/>
      <c r="B294" s="181"/>
      <c r="C294" s="182"/>
      <c r="D294" s="182"/>
      <c r="E294" s="18"/>
      <c r="F294" s="173"/>
      <c r="G294" s="173"/>
      <c r="H294" s="173"/>
      <c r="I294" s="173"/>
      <c r="J294" s="173"/>
      <c r="K294" s="173"/>
      <c r="L294" s="173"/>
      <c r="M294" s="13"/>
      <c r="N294" s="13"/>
      <c r="O294" s="13"/>
      <c r="P294" s="13"/>
      <c r="Q294" s="173"/>
      <c r="R294" s="175">
        <f t="array" ref="R294">LEN(C294)-SUM((LEN(C294)-LEN(SUBSTITUTE(C294,修饰列表!$B$2:$B$80,修饰列表!$D$2:$D$80))))</f>
        <v>0</v>
      </c>
    </row>
    <row r="295" spans="1:18">
      <c r="A295" s="171"/>
      <c r="B295" s="181"/>
      <c r="C295" s="182"/>
      <c r="D295" s="182"/>
      <c r="E295" s="18"/>
      <c r="F295" s="173"/>
      <c r="G295" s="173"/>
      <c r="H295" s="173"/>
      <c r="I295" s="173"/>
      <c r="J295" s="173"/>
      <c r="K295" s="173"/>
      <c r="L295" s="173"/>
      <c r="M295" s="13"/>
      <c r="N295" s="13"/>
      <c r="O295" s="13"/>
      <c r="P295" s="13"/>
      <c r="Q295" s="173"/>
      <c r="R295" s="175">
        <f t="array" ref="R295">LEN(C295)-SUM((LEN(C295)-LEN(SUBSTITUTE(C295,修饰列表!$B$2:$B$80,修饰列表!$D$2:$D$80))))</f>
        <v>0</v>
      </c>
    </row>
    <row r="296" spans="1:18">
      <c r="A296" s="171"/>
      <c r="B296" s="181"/>
      <c r="C296" s="182"/>
      <c r="D296" s="182"/>
      <c r="E296" s="18"/>
      <c r="F296" s="173"/>
      <c r="G296" s="173"/>
      <c r="H296" s="173"/>
      <c r="I296" s="173"/>
      <c r="J296" s="173"/>
      <c r="K296" s="173"/>
      <c r="L296" s="173"/>
      <c r="M296" s="13"/>
      <c r="N296" s="13"/>
      <c r="O296" s="13"/>
      <c r="P296" s="13"/>
      <c r="Q296" s="173"/>
      <c r="R296" s="175">
        <f t="array" ref="R296">LEN(C296)-SUM((LEN(C296)-LEN(SUBSTITUTE(C296,修饰列表!$B$2:$B$80,修饰列表!$D$2:$D$80))))</f>
        <v>0</v>
      </c>
    </row>
    <row r="297" spans="1:18">
      <c r="A297" s="171"/>
      <c r="B297" s="181"/>
      <c r="C297" s="182"/>
      <c r="D297" s="182"/>
      <c r="E297" s="18"/>
      <c r="F297" s="173"/>
      <c r="G297" s="173"/>
      <c r="H297" s="173"/>
      <c r="I297" s="173"/>
      <c r="J297" s="173"/>
      <c r="K297" s="173"/>
      <c r="L297" s="173"/>
      <c r="M297" s="13"/>
      <c r="N297" s="13"/>
      <c r="O297" s="13"/>
      <c r="P297" s="13"/>
      <c r="Q297" s="173"/>
      <c r="R297" s="175">
        <f t="array" ref="R297">LEN(C297)-SUM((LEN(C297)-LEN(SUBSTITUTE(C297,修饰列表!$B$2:$B$80,修饰列表!$D$2:$D$80))))</f>
        <v>0</v>
      </c>
    </row>
    <row r="298" spans="1:18">
      <c r="A298" s="171"/>
      <c r="B298" s="181"/>
      <c r="C298" s="182"/>
      <c r="D298" s="182"/>
      <c r="E298" s="18"/>
      <c r="F298" s="173"/>
      <c r="G298" s="173"/>
      <c r="H298" s="173"/>
      <c r="I298" s="173"/>
      <c r="J298" s="173"/>
      <c r="K298" s="173"/>
      <c r="L298" s="173"/>
      <c r="M298" s="13"/>
      <c r="N298" s="13"/>
      <c r="O298" s="13"/>
      <c r="P298" s="13"/>
      <c r="Q298" s="173"/>
      <c r="R298" s="175">
        <f t="array" ref="R298">LEN(C298)-SUM((LEN(C298)-LEN(SUBSTITUTE(C298,修饰列表!$B$2:$B$80,修饰列表!$D$2:$D$80))))</f>
        <v>0</v>
      </c>
    </row>
    <row r="299" spans="1:18">
      <c r="A299" s="171"/>
      <c r="B299" s="181"/>
      <c r="C299" s="182"/>
      <c r="D299" s="182"/>
      <c r="E299" s="18"/>
      <c r="F299" s="173"/>
      <c r="G299" s="173"/>
      <c r="H299" s="173"/>
      <c r="I299" s="173"/>
      <c r="J299" s="173"/>
      <c r="K299" s="173"/>
      <c r="L299" s="173"/>
      <c r="M299" s="13"/>
      <c r="N299" s="13"/>
      <c r="O299" s="13"/>
      <c r="P299" s="13"/>
      <c r="Q299" s="173"/>
      <c r="R299" s="175">
        <f t="array" ref="R299">LEN(C299)-SUM((LEN(C299)-LEN(SUBSTITUTE(C299,修饰列表!$B$2:$B$80,修饰列表!$D$2:$D$80))))</f>
        <v>0</v>
      </c>
    </row>
    <row r="300" spans="1:18">
      <c r="A300" s="171"/>
      <c r="B300" s="181"/>
      <c r="C300" s="182"/>
      <c r="D300" s="182"/>
      <c r="E300" s="18"/>
      <c r="F300" s="173"/>
      <c r="G300" s="173"/>
      <c r="H300" s="173"/>
      <c r="I300" s="173"/>
      <c r="J300" s="173"/>
      <c r="K300" s="173"/>
      <c r="L300" s="173"/>
      <c r="M300" s="13"/>
      <c r="N300" s="13"/>
      <c r="O300" s="13"/>
      <c r="P300" s="13"/>
      <c r="Q300" s="173"/>
      <c r="R300" s="175">
        <f t="array" ref="R300">LEN(C300)-SUM((LEN(C300)-LEN(SUBSTITUTE(C300,修饰列表!$B$2:$B$80,修饰列表!$D$2:$D$80))))</f>
        <v>0</v>
      </c>
    </row>
    <row r="301" spans="1:18">
      <c r="A301" s="171"/>
      <c r="B301" s="181"/>
      <c r="C301" s="182"/>
      <c r="D301" s="182"/>
      <c r="E301" s="18"/>
      <c r="F301" s="173"/>
      <c r="G301" s="173"/>
      <c r="H301" s="173"/>
      <c r="I301" s="173"/>
      <c r="J301" s="173"/>
      <c r="K301" s="173"/>
      <c r="L301" s="173"/>
      <c r="M301" s="13"/>
      <c r="N301" s="13"/>
      <c r="O301" s="13"/>
      <c r="P301" s="13"/>
      <c r="Q301" s="173"/>
      <c r="R301" s="175">
        <f t="array" ref="R301">LEN(C301)-SUM((LEN(C301)-LEN(SUBSTITUTE(C301,修饰列表!$B$2:$B$80,修饰列表!$D$2:$D$80))))</f>
        <v>0</v>
      </c>
    </row>
    <row r="302" spans="1:18">
      <c r="A302" s="171"/>
      <c r="B302" s="181"/>
      <c r="C302" s="182"/>
      <c r="D302" s="182"/>
      <c r="E302" s="18"/>
      <c r="F302" s="173"/>
      <c r="G302" s="173"/>
      <c r="H302" s="173"/>
      <c r="I302" s="173"/>
      <c r="J302" s="173"/>
      <c r="K302" s="173"/>
      <c r="L302" s="173"/>
      <c r="M302" s="13"/>
      <c r="N302" s="13"/>
      <c r="O302" s="13"/>
      <c r="P302" s="13"/>
      <c r="Q302" s="173"/>
      <c r="R302" s="175">
        <f t="array" ref="R302">LEN(C302)-SUM((LEN(C302)-LEN(SUBSTITUTE(C302,修饰列表!$B$2:$B$80,修饰列表!$D$2:$D$80))))</f>
        <v>0</v>
      </c>
    </row>
    <row r="303" spans="1:18">
      <c r="A303" s="171"/>
      <c r="B303" s="181"/>
      <c r="C303" s="182"/>
      <c r="D303" s="182"/>
      <c r="E303" s="18"/>
      <c r="F303" s="173"/>
      <c r="G303" s="173"/>
      <c r="H303" s="173"/>
      <c r="I303" s="173"/>
      <c r="J303" s="173"/>
      <c r="K303" s="173"/>
      <c r="L303" s="173"/>
      <c r="M303" s="13"/>
      <c r="N303" s="13"/>
      <c r="O303" s="13"/>
      <c r="P303" s="13"/>
      <c r="Q303" s="173"/>
      <c r="R303" s="175">
        <f t="array" ref="R303">LEN(C303)-SUM((LEN(C303)-LEN(SUBSTITUTE(C303,修饰列表!$B$2:$B$80,修饰列表!$D$2:$D$80))))</f>
        <v>0</v>
      </c>
    </row>
    <row r="304" spans="1:18">
      <c r="A304" s="171"/>
      <c r="B304" s="181"/>
      <c r="C304" s="182"/>
      <c r="D304" s="182"/>
      <c r="E304" s="18"/>
      <c r="F304" s="173"/>
      <c r="G304" s="173"/>
      <c r="H304" s="173"/>
      <c r="I304" s="173"/>
      <c r="J304" s="173"/>
      <c r="K304" s="173"/>
      <c r="L304" s="173"/>
      <c r="M304" s="13"/>
      <c r="N304" s="13"/>
      <c r="O304" s="13"/>
      <c r="P304" s="13"/>
      <c r="Q304" s="173"/>
      <c r="R304" s="175">
        <f t="array" ref="R304">LEN(C304)-SUM((LEN(C304)-LEN(SUBSTITUTE(C304,修饰列表!$B$2:$B$80,修饰列表!$D$2:$D$80))))</f>
        <v>0</v>
      </c>
    </row>
    <row r="305" spans="1:18">
      <c r="A305" s="171"/>
      <c r="B305" s="181"/>
      <c r="C305" s="182"/>
      <c r="D305" s="182"/>
      <c r="E305" s="18"/>
      <c r="F305" s="173"/>
      <c r="G305" s="173"/>
      <c r="H305" s="173"/>
      <c r="I305" s="173"/>
      <c r="J305" s="173"/>
      <c r="K305" s="173"/>
      <c r="L305" s="173"/>
      <c r="M305" s="13"/>
      <c r="N305" s="13"/>
      <c r="O305" s="13"/>
      <c r="P305" s="13"/>
      <c r="Q305" s="173"/>
      <c r="R305" s="175">
        <f t="array" ref="R305">LEN(C305)-SUM((LEN(C305)-LEN(SUBSTITUTE(C305,修饰列表!$B$2:$B$80,修饰列表!$D$2:$D$80))))</f>
        <v>0</v>
      </c>
    </row>
    <row r="306" spans="1:18">
      <c r="A306" s="171"/>
      <c r="B306" s="181"/>
      <c r="C306" s="182"/>
      <c r="D306" s="182"/>
      <c r="E306" s="18"/>
      <c r="F306" s="173"/>
      <c r="G306" s="173"/>
      <c r="H306" s="173"/>
      <c r="I306" s="173"/>
      <c r="J306" s="173"/>
      <c r="K306" s="173"/>
      <c r="L306" s="173"/>
      <c r="M306" s="13"/>
      <c r="N306" s="13"/>
      <c r="O306" s="13"/>
      <c r="P306" s="13"/>
      <c r="Q306" s="173"/>
      <c r="R306" s="175">
        <f t="array" ref="R306">LEN(C306)-SUM((LEN(C306)-LEN(SUBSTITUTE(C306,修饰列表!$B$2:$B$80,修饰列表!$D$2:$D$80))))</f>
        <v>0</v>
      </c>
    </row>
    <row r="307" spans="1:18">
      <c r="A307" s="171"/>
      <c r="B307" s="181"/>
      <c r="C307" s="182"/>
      <c r="D307" s="182"/>
      <c r="E307" s="18"/>
      <c r="F307" s="173"/>
      <c r="G307" s="173"/>
      <c r="H307" s="173"/>
      <c r="I307" s="173"/>
      <c r="J307" s="173"/>
      <c r="K307" s="173"/>
      <c r="L307" s="173"/>
      <c r="M307" s="13"/>
      <c r="N307" s="13"/>
      <c r="O307" s="13"/>
      <c r="P307" s="13"/>
      <c r="Q307" s="173"/>
      <c r="R307" s="175">
        <f t="array" ref="R307">LEN(C307)-SUM((LEN(C307)-LEN(SUBSTITUTE(C307,修饰列表!$B$2:$B$80,修饰列表!$D$2:$D$80))))</f>
        <v>0</v>
      </c>
    </row>
    <row r="308" spans="1:18">
      <c r="A308" s="171"/>
      <c r="B308" s="181"/>
      <c r="C308" s="182"/>
      <c r="D308" s="182"/>
      <c r="E308" s="18"/>
      <c r="F308" s="173"/>
      <c r="G308" s="173"/>
      <c r="H308" s="173"/>
      <c r="I308" s="173"/>
      <c r="J308" s="173"/>
      <c r="K308" s="173"/>
      <c r="L308" s="173"/>
      <c r="M308" s="13"/>
      <c r="N308" s="13"/>
      <c r="O308" s="13"/>
      <c r="P308" s="13"/>
      <c r="Q308" s="173"/>
      <c r="R308" s="175">
        <f t="array" ref="R308">LEN(C308)-SUM((LEN(C308)-LEN(SUBSTITUTE(C308,修饰列表!$B$2:$B$80,修饰列表!$D$2:$D$80))))</f>
        <v>0</v>
      </c>
    </row>
    <row r="309" spans="1:18">
      <c r="A309" s="171"/>
      <c r="B309" s="181"/>
      <c r="C309" s="182"/>
      <c r="D309" s="182"/>
      <c r="E309" s="18"/>
      <c r="F309" s="173"/>
      <c r="G309" s="173"/>
      <c r="H309" s="173"/>
      <c r="I309" s="173"/>
      <c r="J309" s="173"/>
      <c r="K309" s="173"/>
      <c r="L309" s="173"/>
      <c r="M309" s="13"/>
      <c r="N309" s="13"/>
      <c r="O309" s="13"/>
      <c r="P309" s="13"/>
      <c r="Q309" s="173"/>
      <c r="R309" s="175">
        <f t="array" ref="R309">LEN(C309)-SUM((LEN(C309)-LEN(SUBSTITUTE(C309,修饰列表!$B$2:$B$80,修饰列表!$D$2:$D$80))))</f>
        <v>0</v>
      </c>
    </row>
    <row r="310" spans="1:18">
      <c r="A310" s="171"/>
      <c r="B310" s="181"/>
      <c r="C310" s="182"/>
      <c r="D310" s="182"/>
      <c r="E310" s="18"/>
      <c r="F310" s="173"/>
      <c r="G310" s="173"/>
      <c r="H310" s="173"/>
      <c r="I310" s="173"/>
      <c r="J310" s="173"/>
      <c r="K310" s="173"/>
      <c r="L310" s="173"/>
      <c r="M310" s="13"/>
      <c r="N310" s="13"/>
      <c r="O310" s="13"/>
      <c r="P310" s="13"/>
      <c r="Q310" s="173"/>
      <c r="R310" s="175">
        <f t="array" ref="R310">LEN(C310)-SUM((LEN(C310)-LEN(SUBSTITUTE(C310,修饰列表!$B$2:$B$80,修饰列表!$D$2:$D$80))))</f>
        <v>0</v>
      </c>
    </row>
    <row r="311" spans="1:18">
      <c r="A311" s="171"/>
      <c r="B311" s="181"/>
      <c r="C311" s="182"/>
      <c r="D311" s="182"/>
      <c r="E311" s="18"/>
      <c r="F311" s="173"/>
      <c r="G311" s="173"/>
      <c r="H311" s="173"/>
      <c r="I311" s="173"/>
      <c r="J311" s="173"/>
      <c r="K311" s="173"/>
      <c r="L311" s="173"/>
      <c r="M311" s="13"/>
      <c r="N311" s="13"/>
      <c r="O311" s="13"/>
      <c r="P311" s="13"/>
      <c r="Q311" s="173"/>
      <c r="R311" s="175">
        <f t="array" ref="R311">LEN(C311)-SUM((LEN(C311)-LEN(SUBSTITUTE(C311,修饰列表!$B$2:$B$80,修饰列表!$D$2:$D$80))))</f>
        <v>0</v>
      </c>
    </row>
    <row r="312" spans="1:18">
      <c r="A312" s="171"/>
      <c r="B312" s="181"/>
      <c r="C312" s="182"/>
      <c r="D312" s="182"/>
      <c r="E312" s="18"/>
      <c r="F312" s="173"/>
      <c r="G312" s="173"/>
      <c r="H312" s="173"/>
      <c r="I312" s="173"/>
      <c r="J312" s="173"/>
      <c r="K312" s="173"/>
      <c r="L312" s="173"/>
      <c r="M312" s="13"/>
      <c r="N312" s="13"/>
      <c r="O312" s="13"/>
      <c r="P312" s="13"/>
      <c r="Q312" s="173"/>
      <c r="R312" s="175">
        <f t="array" ref="R312">LEN(C312)-SUM((LEN(C312)-LEN(SUBSTITUTE(C312,修饰列表!$B$2:$B$80,修饰列表!$D$2:$D$80))))</f>
        <v>0</v>
      </c>
    </row>
    <row r="313" spans="1:18">
      <c r="A313" s="171"/>
      <c r="B313" s="181"/>
      <c r="C313" s="182"/>
      <c r="D313" s="182"/>
      <c r="E313" s="18"/>
      <c r="F313" s="173"/>
      <c r="G313" s="173"/>
      <c r="H313" s="173"/>
      <c r="I313" s="173"/>
      <c r="J313" s="173"/>
      <c r="K313" s="173"/>
      <c r="L313" s="173"/>
      <c r="M313" s="13"/>
      <c r="N313" s="13"/>
      <c r="O313" s="13"/>
      <c r="P313" s="13"/>
      <c r="Q313" s="173"/>
      <c r="R313" s="175">
        <f t="array" ref="R313">LEN(C313)-SUM((LEN(C313)-LEN(SUBSTITUTE(C313,修饰列表!$B$2:$B$80,修饰列表!$D$2:$D$80))))</f>
        <v>0</v>
      </c>
    </row>
    <row r="314" spans="1:18">
      <c r="A314" s="171"/>
      <c r="B314" s="181"/>
      <c r="C314" s="182"/>
      <c r="D314" s="182"/>
      <c r="E314" s="18"/>
      <c r="F314" s="173"/>
      <c r="G314" s="173"/>
      <c r="H314" s="173"/>
      <c r="I314" s="173"/>
      <c r="J314" s="173"/>
      <c r="K314" s="173"/>
      <c r="L314" s="173"/>
      <c r="M314" s="13"/>
      <c r="N314" s="13"/>
      <c r="O314" s="13"/>
      <c r="P314" s="13"/>
      <c r="Q314" s="173"/>
      <c r="R314" s="175">
        <f t="array" ref="R314">LEN(C314)-SUM((LEN(C314)-LEN(SUBSTITUTE(C314,修饰列表!$B$2:$B$80,修饰列表!$D$2:$D$80))))</f>
        <v>0</v>
      </c>
    </row>
    <row r="315" spans="1:18">
      <c r="A315" s="171"/>
      <c r="B315" s="181"/>
      <c r="C315" s="182"/>
      <c r="D315" s="182"/>
      <c r="E315" s="18"/>
      <c r="F315" s="173"/>
      <c r="G315" s="173"/>
      <c r="H315" s="173"/>
      <c r="I315" s="173"/>
      <c r="J315" s="173"/>
      <c r="K315" s="173"/>
      <c r="L315" s="173"/>
      <c r="M315" s="13"/>
      <c r="N315" s="13"/>
      <c r="O315" s="13"/>
      <c r="P315" s="13"/>
      <c r="Q315" s="173"/>
      <c r="R315" s="175">
        <f t="array" ref="R315">LEN(C315)-SUM((LEN(C315)-LEN(SUBSTITUTE(C315,修饰列表!$B$2:$B$80,修饰列表!$D$2:$D$80))))</f>
        <v>0</v>
      </c>
    </row>
    <row r="316" spans="1:18">
      <c r="A316" s="171"/>
      <c r="B316" s="181"/>
      <c r="C316" s="182"/>
      <c r="D316" s="182"/>
      <c r="E316" s="18"/>
      <c r="F316" s="173"/>
      <c r="G316" s="173"/>
      <c r="H316" s="173"/>
      <c r="I316" s="173"/>
      <c r="J316" s="173"/>
      <c r="K316" s="173"/>
      <c r="L316" s="173"/>
      <c r="M316" s="13"/>
      <c r="N316" s="13"/>
      <c r="O316" s="13"/>
      <c r="P316" s="13"/>
      <c r="Q316" s="173"/>
      <c r="R316" s="175">
        <f t="array" ref="R316">LEN(C316)-SUM((LEN(C316)-LEN(SUBSTITUTE(C316,修饰列表!$B$2:$B$80,修饰列表!$D$2:$D$80))))</f>
        <v>0</v>
      </c>
    </row>
    <row r="317" spans="1:18">
      <c r="A317" s="171"/>
      <c r="B317" s="181"/>
      <c r="C317" s="182"/>
      <c r="D317" s="182"/>
      <c r="E317" s="18"/>
      <c r="F317" s="173"/>
      <c r="G317" s="173"/>
      <c r="H317" s="173"/>
      <c r="I317" s="173"/>
      <c r="J317" s="173"/>
      <c r="K317" s="173"/>
      <c r="L317" s="173"/>
      <c r="M317" s="13"/>
      <c r="N317" s="13"/>
      <c r="O317" s="13"/>
      <c r="P317" s="13"/>
      <c r="Q317" s="173"/>
      <c r="R317" s="175">
        <f t="array" ref="R317">LEN(C317)-SUM((LEN(C317)-LEN(SUBSTITUTE(C317,修饰列表!$B$2:$B$80,修饰列表!$D$2:$D$80))))</f>
        <v>0</v>
      </c>
    </row>
    <row r="318" spans="1:18">
      <c r="A318" s="171"/>
      <c r="B318" s="181"/>
      <c r="C318" s="182"/>
      <c r="D318" s="182"/>
      <c r="E318" s="18"/>
      <c r="F318" s="173"/>
      <c r="G318" s="173"/>
      <c r="H318" s="173"/>
      <c r="I318" s="173"/>
      <c r="J318" s="173"/>
      <c r="K318" s="173"/>
      <c r="L318" s="173"/>
      <c r="M318" s="13"/>
      <c r="N318" s="13"/>
      <c r="O318" s="13"/>
      <c r="P318" s="13"/>
      <c r="Q318" s="173"/>
      <c r="R318" s="175">
        <f t="array" ref="R318">LEN(C318)-SUM((LEN(C318)-LEN(SUBSTITUTE(C318,修饰列表!$B$2:$B$80,修饰列表!$D$2:$D$80))))</f>
        <v>0</v>
      </c>
    </row>
    <row r="319" spans="1:18">
      <c r="A319" s="171"/>
      <c r="B319" s="181"/>
      <c r="C319" s="182"/>
      <c r="D319" s="182"/>
      <c r="E319" s="18"/>
      <c r="F319" s="173"/>
      <c r="G319" s="173"/>
      <c r="H319" s="173"/>
      <c r="I319" s="173"/>
      <c r="J319" s="173"/>
      <c r="K319" s="173"/>
      <c r="L319" s="173"/>
      <c r="M319" s="13"/>
      <c r="N319" s="13"/>
      <c r="O319" s="13"/>
      <c r="P319" s="13"/>
      <c r="Q319" s="173"/>
      <c r="R319" s="175">
        <f t="array" ref="R319">LEN(C319)-SUM((LEN(C319)-LEN(SUBSTITUTE(C319,修饰列表!$B$2:$B$80,修饰列表!$D$2:$D$80))))</f>
        <v>0</v>
      </c>
    </row>
    <row r="320" spans="1:18">
      <c r="A320" s="171"/>
      <c r="B320" s="181"/>
      <c r="C320" s="182"/>
      <c r="D320" s="182"/>
      <c r="E320" s="18"/>
      <c r="F320" s="173"/>
      <c r="G320" s="173"/>
      <c r="H320" s="173"/>
      <c r="I320" s="173"/>
      <c r="J320" s="173"/>
      <c r="K320" s="173"/>
      <c r="L320" s="173"/>
      <c r="M320" s="13"/>
      <c r="N320" s="13"/>
      <c r="O320" s="13"/>
      <c r="P320" s="13"/>
      <c r="Q320" s="173"/>
      <c r="R320" s="175">
        <f t="array" ref="R320">LEN(C320)-SUM((LEN(C320)-LEN(SUBSTITUTE(C320,修饰列表!$B$2:$B$80,修饰列表!$D$2:$D$80))))</f>
        <v>0</v>
      </c>
    </row>
    <row r="321" spans="1:18">
      <c r="A321" s="171"/>
      <c r="B321" s="181"/>
      <c r="C321" s="182"/>
      <c r="D321" s="182"/>
      <c r="E321" s="18"/>
      <c r="F321" s="173"/>
      <c r="G321" s="173"/>
      <c r="H321" s="173"/>
      <c r="I321" s="173"/>
      <c r="J321" s="173"/>
      <c r="K321" s="173"/>
      <c r="L321" s="173"/>
      <c r="M321" s="13"/>
      <c r="N321" s="13"/>
      <c r="O321" s="13"/>
      <c r="P321" s="13"/>
      <c r="Q321" s="173"/>
      <c r="R321" s="175">
        <f t="array" ref="R321">LEN(C321)-SUM((LEN(C321)-LEN(SUBSTITUTE(C321,修饰列表!$B$2:$B$80,修饰列表!$D$2:$D$80))))</f>
        <v>0</v>
      </c>
    </row>
    <row r="322" spans="1:18">
      <c r="A322" s="171"/>
      <c r="B322" s="181"/>
      <c r="C322" s="182"/>
      <c r="D322" s="182"/>
      <c r="E322" s="18"/>
      <c r="F322" s="173"/>
      <c r="G322" s="173"/>
      <c r="H322" s="173"/>
      <c r="I322" s="173"/>
      <c r="J322" s="173"/>
      <c r="K322" s="173"/>
      <c r="L322" s="173"/>
      <c r="M322" s="13"/>
      <c r="N322" s="13"/>
      <c r="O322" s="13"/>
      <c r="P322" s="13"/>
      <c r="Q322" s="173"/>
      <c r="R322" s="175">
        <f t="array" ref="R322">LEN(C322)-SUM((LEN(C322)-LEN(SUBSTITUTE(C322,修饰列表!$B$2:$B$80,修饰列表!$D$2:$D$80))))</f>
        <v>0</v>
      </c>
    </row>
    <row r="323" spans="1:18">
      <c r="A323" s="171"/>
      <c r="B323" s="181"/>
      <c r="C323" s="182"/>
      <c r="D323" s="182"/>
      <c r="E323" s="18"/>
      <c r="F323" s="173"/>
      <c r="G323" s="173"/>
      <c r="H323" s="173"/>
      <c r="I323" s="173"/>
      <c r="J323" s="173"/>
      <c r="K323" s="173"/>
      <c r="L323" s="173"/>
      <c r="M323" s="13"/>
      <c r="N323" s="13"/>
      <c r="O323" s="13"/>
      <c r="P323" s="13"/>
      <c r="Q323" s="173"/>
      <c r="R323" s="175">
        <f t="array" ref="R323">LEN(C323)-SUM((LEN(C323)-LEN(SUBSTITUTE(C323,修饰列表!$B$2:$B$80,修饰列表!$D$2:$D$80))))</f>
        <v>0</v>
      </c>
    </row>
    <row r="324" spans="1:18">
      <c r="A324" s="171"/>
      <c r="B324" s="181"/>
      <c r="C324" s="182"/>
      <c r="D324" s="182"/>
      <c r="E324" s="18"/>
      <c r="F324" s="173"/>
      <c r="G324" s="173"/>
      <c r="H324" s="173"/>
      <c r="I324" s="173"/>
      <c r="J324" s="173"/>
      <c r="K324" s="173"/>
      <c r="L324" s="173"/>
      <c r="M324" s="13"/>
      <c r="N324" s="13"/>
      <c r="O324" s="13"/>
      <c r="P324" s="13"/>
      <c r="Q324" s="173"/>
      <c r="R324" s="175">
        <f t="array" ref="R324">LEN(C324)-SUM((LEN(C324)-LEN(SUBSTITUTE(C324,修饰列表!$B$2:$B$80,修饰列表!$D$2:$D$80))))</f>
        <v>0</v>
      </c>
    </row>
    <row r="325" spans="1:18">
      <c r="A325" s="171"/>
      <c r="B325" s="181"/>
      <c r="C325" s="182"/>
      <c r="D325" s="182"/>
      <c r="E325" s="18"/>
      <c r="F325" s="173"/>
      <c r="G325" s="173"/>
      <c r="H325" s="173"/>
      <c r="I325" s="173"/>
      <c r="J325" s="173"/>
      <c r="K325" s="173"/>
      <c r="L325" s="173"/>
      <c r="M325" s="13"/>
      <c r="N325" s="13"/>
      <c r="O325" s="13"/>
      <c r="P325" s="13"/>
      <c r="Q325" s="173"/>
      <c r="R325" s="175">
        <f t="array" ref="R325">LEN(C325)-SUM((LEN(C325)-LEN(SUBSTITUTE(C325,修饰列表!$B$2:$B$80,修饰列表!$D$2:$D$80))))</f>
        <v>0</v>
      </c>
    </row>
    <row r="326" spans="1:18">
      <c r="A326" s="171"/>
      <c r="B326" s="181"/>
      <c r="C326" s="182"/>
      <c r="D326" s="182"/>
      <c r="E326" s="18"/>
      <c r="F326" s="173"/>
      <c r="G326" s="173"/>
      <c r="H326" s="173"/>
      <c r="I326" s="173"/>
      <c r="J326" s="173"/>
      <c r="K326" s="173"/>
      <c r="L326" s="173"/>
      <c r="M326" s="13"/>
      <c r="N326" s="13"/>
      <c r="O326" s="13"/>
      <c r="P326" s="13"/>
      <c r="Q326" s="173"/>
      <c r="R326" s="175">
        <f t="array" ref="R326">LEN(C326)-SUM((LEN(C326)-LEN(SUBSTITUTE(C326,修饰列表!$B$2:$B$80,修饰列表!$D$2:$D$80))))</f>
        <v>0</v>
      </c>
    </row>
    <row r="327" spans="1:18">
      <c r="A327" s="171"/>
      <c r="B327" s="181"/>
      <c r="C327" s="182"/>
      <c r="D327" s="182"/>
      <c r="E327" s="18"/>
      <c r="F327" s="173"/>
      <c r="G327" s="173"/>
      <c r="H327" s="173"/>
      <c r="I327" s="173"/>
      <c r="J327" s="173"/>
      <c r="K327" s="173"/>
      <c r="L327" s="173"/>
      <c r="M327" s="13"/>
      <c r="N327" s="13"/>
      <c r="O327" s="13"/>
      <c r="P327" s="13"/>
      <c r="Q327" s="173"/>
      <c r="R327" s="175">
        <f t="array" ref="R327">LEN(C327)-SUM((LEN(C327)-LEN(SUBSTITUTE(C327,修饰列表!$B$2:$B$80,修饰列表!$D$2:$D$80))))</f>
        <v>0</v>
      </c>
    </row>
    <row r="328" spans="1:18">
      <c r="A328" s="171"/>
      <c r="B328" s="181"/>
      <c r="C328" s="182"/>
      <c r="D328" s="182"/>
      <c r="E328" s="18"/>
      <c r="F328" s="173"/>
      <c r="G328" s="173"/>
      <c r="H328" s="173"/>
      <c r="I328" s="173"/>
      <c r="J328" s="173"/>
      <c r="K328" s="173"/>
      <c r="L328" s="173"/>
      <c r="M328" s="13"/>
      <c r="N328" s="13"/>
      <c r="O328" s="13"/>
      <c r="P328" s="13"/>
      <c r="Q328" s="173"/>
      <c r="R328" s="175">
        <f t="array" ref="R328">LEN(C328)-SUM((LEN(C328)-LEN(SUBSTITUTE(C328,修饰列表!$B$2:$B$80,修饰列表!$D$2:$D$80))))</f>
        <v>0</v>
      </c>
    </row>
    <row r="329" spans="1:18">
      <c r="A329" s="171"/>
      <c r="B329" s="181"/>
      <c r="C329" s="182"/>
      <c r="D329" s="182"/>
      <c r="E329" s="18"/>
      <c r="F329" s="173"/>
      <c r="G329" s="173"/>
      <c r="H329" s="173"/>
      <c r="I329" s="173"/>
      <c r="J329" s="173"/>
      <c r="K329" s="173"/>
      <c r="L329" s="173"/>
      <c r="M329" s="13"/>
      <c r="N329" s="13"/>
      <c r="O329" s="13"/>
      <c r="P329" s="13"/>
      <c r="Q329" s="173"/>
      <c r="R329" s="175">
        <f t="array" ref="R329">LEN(C329)-SUM((LEN(C329)-LEN(SUBSTITUTE(C329,修饰列表!$B$2:$B$80,修饰列表!$D$2:$D$80))))</f>
        <v>0</v>
      </c>
    </row>
    <row r="330" spans="1:18">
      <c r="A330" s="171"/>
      <c r="B330" s="181"/>
      <c r="C330" s="182"/>
      <c r="D330" s="182"/>
      <c r="E330" s="18"/>
      <c r="F330" s="173"/>
      <c r="G330" s="173"/>
      <c r="H330" s="173"/>
      <c r="I330" s="173"/>
      <c r="J330" s="173"/>
      <c r="K330" s="173"/>
      <c r="L330" s="173"/>
      <c r="M330" s="13"/>
      <c r="N330" s="13"/>
      <c r="O330" s="13"/>
      <c r="P330" s="13"/>
      <c r="Q330" s="173"/>
      <c r="R330" s="175">
        <f t="array" ref="R330">LEN(C330)-SUM((LEN(C330)-LEN(SUBSTITUTE(C330,修饰列表!$B$2:$B$80,修饰列表!$D$2:$D$80))))</f>
        <v>0</v>
      </c>
    </row>
    <row r="331" spans="1:18">
      <c r="A331" s="171"/>
      <c r="B331" s="181"/>
      <c r="C331" s="182"/>
      <c r="D331" s="182"/>
      <c r="E331" s="18"/>
      <c r="F331" s="173"/>
      <c r="G331" s="173"/>
      <c r="H331" s="173"/>
      <c r="I331" s="173"/>
      <c r="J331" s="173"/>
      <c r="K331" s="173"/>
      <c r="L331" s="173"/>
      <c r="M331" s="13"/>
      <c r="N331" s="13"/>
      <c r="O331" s="13"/>
      <c r="P331" s="13"/>
      <c r="Q331" s="173"/>
      <c r="R331" s="175">
        <f t="array" ref="R331">LEN(C331)-SUM((LEN(C331)-LEN(SUBSTITUTE(C331,修饰列表!$B$2:$B$80,修饰列表!$D$2:$D$80))))</f>
        <v>0</v>
      </c>
    </row>
    <row r="332" spans="1:18">
      <c r="A332" s="171"/>
      <c r="B332" s="181"/>
      <c r="C332" s="182"/>
      <c r="D332" s="182"/>
      <c r="E332" s="18"/>
      <c r="F332" s="173"/>
      <c r="G332" s="173"/>
      <c r="H332" s="173"/>
      <c r="I332" s="173"/>
      <c r="J332" s="173"/>
      <c r="K332" s="173"/>
      <c r="L332" s="173"/>
      <c r="M332" s="13"/>
      <c r="N332" s="13"/>
      <c r="O332" s="13"/>
      <c r="P332" s="13"/>
      <c r="Q332" s="173"/>
      <c r="R332" s="175">
        <f t="array" ref="R332">LEN(C332)-SUM((LEN(C332)-LEN(SUBSTITUTE(C332,修饰列表!$B$2:$B$80,修饰列表!$D$2:$D$80))))</f>
        <v>0</v>
      </c>
    </row>
    <row r="333" spans="1:18">
      <c r="A333" s="171"/>
      <c r="B333" s="181"/>
      <c r="C333" s="182"/>
      <c r="D333" s="182"/>
      <c r="E333" s="18"/>
      <c r="F333" s="173"/>
      <c r="G333" s="173"/>
      <c r="H333" s="173"/>
      <c r="I333" s="173"/>
      <c r="J333" s="173"/>
      <c r="K333" s="173"/>
      <c r="L333" s="173"/>
      <c r="M333" s="13"/>
      <c r="N333" s="13"/>
      <c r="O333" s="13"/>
      <c r="P333" s="13"/>
      <c r="Q333" s="173"/>
      <c r="R333" s="175">
        <f t="array" ref="R333">LEN(C333)-SUM((LEN(C333)-LEN(SUBSTITUTE(C333,修饰列表!$B$2:$B$80,修饰列表!$D$2:$D$80))))</f>
        <v>0</v>
      </c>
    </row>
    <row r="334" spans="1:18">
      <c r="A334" s="171"/>
      <c r="B334" s="181"/>
      <c r="C334" s="182"/>
      <c r="D334" s="182"/>
      <c r="E334" s="18"/>
      <c r="F334" s="173"/>
      <c r="G334" s="173"/>
      <c r="H334" s="173"/>
      <c r="I334" s="173"/>
      <c r="J334" s="173"/>
      <c r="K334" s="173"/>
      <c r="L334" s="173"/>
      <c r="M334" s="13"/>
      <c r="N334" s="13"/>
      <c r="O334" s="13"/>
      <c r="P334" s="13"/>
      <c r="Q334" s="173"/>
      <c r="R334" s="175">
        <f t="array" ref="R334">LEN(C334)-SUM((LEN(C334)-LEN(SUBSTITUTE(C334,修饰列表!$B$2:$B$80,修饰列表!$D$2:$D$80))))</f>
        <v>0</v>
      </c>
    </row>
    <row r="335" spans="1:18">
      <c r="A335" s="171"/>
      <c r="B335" s="181"/>
      <c r="C335" s="182"/>
      <c r="D335" s="182"/>
      <c r="E335" s="18"/>
      <c r="F335" s="173"/>
      <c r="G335" s="173"/>
      <c r="H335" s="173"/>
      <c r="I335" s="173"/>
      <c r="J335" s="173"/>
      <c r="K335" s="173"/>
      <c r="L335" s="173"/>
      <c r="M335" s="13"/>
      <c r="N335" s="13"/>
      <c r="O335" s="13"/>
      <c r="P335" s="13"/>
      <c r="Q335" s="173"/>
      <c r="R335" s="175">
        <f t="array" ref="R335">LEN(C335)-SUM((LEN(C335)-LEN(SUBSTITUTE(C335,修饰列表!$B$2:$B$80,修饰列表!$D$2:$D$80))))</f>
        <v>0</v>
      </c>
    </row>
    <row r="336" spans="1:18">
      <c r="A336" s="171"/>
      <c r="B336" s="181"/>
      <c r="C336" s="182"/>
      <c r="D336" s="182"/>
      <c r="E336" s="18"/>
      <c r="F336" s="173"/>
      <c r="G336" s="173"/>
      <c r="H336" s="173"/>
      <c r="I336" s="173"/>
      <c r="J336" s="173"/>
      <c r="K336" s="173"/>
      <c r="L336" s="173"/>
      <c r="M336" s="13"/>
      <c r="N336" s="13"/>
      <c r="O336" s="13"/>
      <c r="P336" s="13"/>
      <c r="Q336" s="173"/>
      <c r="R336" s="175">
        <f t="array" ref="R336">LEN(C336)-SUM((LEN(C336)-LEN(SUBSTITUTE(C336,修饰列表!$B$2:$B$80,修饰列表!$D$2:$D$80))))</f>
        <v>0</v>
      </c>
    </row>
    <row r="337" spans="1:18">
      <c r="A337" s="171"/>
      <c r="B337" s="181"/>
      <c r="C337" s="182"/>
      <c r="D337" s="182"/>
      <c r="E337" s="18"/>
      <c r="F337" s="173"/>
      <c r="G337" s="173"/>
      <c r="H337" s="173"/>
      <c r="I337" s="173"/>
      <c r="J337" s="173"/>
      <c r="K337" s="173"/>
      <c r="L337" s="173"/>
      <c r="M337" s="13"/>
      <c r="N337" s="13"/>
      <c r="O337" s="13"/>
      <c r="P337" s="13"/>
      <c r="Q337" s="173"/>
      <c r="R337" s="175">
        <f t="array" ref="R337">LEN(C337)-SUM((LEN(C337)-LEN(SUBSTITUTE(C337,修饰列表!$B$2:$B$80,修饰列表!$D$2:$D$80))))</f>
        <v>0</v>
      </c>
    </row>
    <row r="338" spans="1:18">
      <c r="A338" s="171"/>
      <c r="B338" s="181"/>
      <c r="C338" s="182"/>
      <c r="D338" s="182"/>
      <c r="E338" s="18"/>
      <c r="F338" s="173"/>
      <c r="G338" s="173"/>
      <c r="H338" s="173"/>
      <c r="I338" s="173"/>
      <c r="J338" s="173"/>
      <c r="K338" s="173"/>
      <c r="L338" s="173"/>
      <c r="M338" s="13"/>
      <c r="N338" s="13"/>
      <c r="O338" s="13"/>
      <c r="P338" s="13"/>
      <c r="Q338" s="173"/>
      <c r="R338" s="175">
        <f t="array" ref="R338">LEN(C338)-SUM((LEN(C338)-LEN(SUBSTITUTE(C338,修饰列表!$B$2:$B$80,修饰列表!$D$2:$D$80))))</f>
        <v>0</v>
      </c>
    </row>
    <row r="339" spans="1:18">
      <c r="A339" s="171"/>
      <c r="B339" s="181"/>
      <c r="C339" s="182"/>
      <c r="D339" s="182"/>
      <c r="E339" s="18"/>
      <c r="F339" s="173"/>
      <c r="G339" s="173"/>
      <c r="H339" s="173"/>
      <c r="I339" s="173"/>
      <c r="J339" s="173"/>
      <c r="K339" s="173"/>
      <c r="L339" s="173"/>
      <c r="M339" s="13"/>
      <c r="N339" s="13"/>
      <c r="O339" s="13"/>
      <c r="P339" s="13"/>
      <c r="Q339" s="173"/>
      <c r="R339" s="175">
        <f t="array" ref="R339">LEN(C339)-SUM((LEN(C339)-LEN(SUBSTITUTE(C339,修饰列表!$B$2:$B$80,修饰列表!$D$2:$D$80))))</f>
        <v>0</v>
      </c>
    </row>
    <row r="340" spans="1:18">
      <c r="A340" s="171"/>
      <c r="B340" s="181"/>
      <c r="C340" s="182"/>
      <c r="D340" s="182"/>
      <c r="E340" s="18"/>
      <c r="F340" s="173"/>
      <c r="G340" s="173"/>
      <c r="H340" s="173"/>
      <c r="I340" s="173"/>
      <c r="J340" s="173"/>
      <c r="K340" s="173"/>
      <c r="L340" s="173"/>
      <c r="M340" s="13"/>
      <c r="N340" s="13"/>
      <c r="O340" s="13"/>
      <c r="P340" s="13"/>
      <c r="Q340" s="173"/>
      <c r="R340" s="175">
        <f t="array" ref="R340">LEN(C340)-SUM((LEN(C340)-LEN(SUBSTITUTE(C340,修饰列表!$B$2:$B$80,修饰列表!$D$2:$D$80))))</f>
        <v>0</v>
      </c>
    </row>
    <row r="341" spans="1:18">
      <c r="A341" s="171"/>
      <c r="B341" s="181"/>
      <c r="C341" s="182"/>
      <c r="D341" s="182"/>
      <c r="E341" s="18"/>
      <c r="F341" s="173"/>
      <c r="G341" s="173"/>
      <c r="H341" s="173"/>
      <c r="I341" s="173"/>
      <c r="J341" s="173"/>
      <c r="K341" s="173"/>
      <c r="L341" s="173"/>
      <c r="M341" s="13"/>
      <c r="N341" s="13"/>
      <c r="O341" s="13"/>
      <c r="P341" s="13"/>
      <c r="Q341" s="173"/>
      <c r="R341" s="175">
        <f t="array" ref="R341">LEN(C341)-SUM((LEN(C341)-LEN(SUBSTITUTE(C341,修饰列表!$B$2:$B$80,修饰列表!$D$2:$D$80))))</f>
        <v>0</v>
      </c>
    </row>
    <row r="342" spans="1:18">
      <c r="A342" s="171"/>
      <c r="B342" s="181"/>
      <c r="C342" s="182"/>
      <c r="D342" s="182"/>
      <c r="E342" s="18"/>
      <c r="F342" s="173"/>
      <c r="G342" s="173"/>
      <c r="H342" s="173"/>
      <c r="I342" s="173"/>
      <c r="J342" s="173"/>
      <c r="K342" s="173"/>
      <c r="L342" s="173"/>
      <c r="M342" s="13"/>
      <c r="N342" s="13"/>
      <c r="O342" s="13"/>
      <c r="P342" s="13"/>
      <c r="Q342" s="173"/>
      <c r="R342" s="175">
        <f t="array" ref="R342">LEN(C342)-SUM((LEN(C342)-LEN(SUBSTITUTE(C342,修饰列表!$B$2:$B$80,修饰列表!$D$2:$D$80))))</f>
        <v>0</v>
      </c>
    </row>
    <row r="343" spans="1:18">
      <c r="A343" s="171"/>
      <c r="B343" s="181"/>
      <c r="C343" s="182"/>
      <c r="D343" s="182"/>
      <c r="E343" s="18"/>
      <c r="F343" s="173"/>
      <c r="G343" s="173"/>
      <c r="H343" s="173"/>
      <c r="I343" s="173"/>
      <c r="J343" s="173"/>
      <c r="K343" s="173"/>
      <c r="L343" s="173"/>
      <c r="M343" s="13"/>
      <c r="N343" s="13"/>
      <c r="O343" s="13"/>
      <c r="P343" s="13"/>
      <c r="Q343" s="173"/>
      <c r="R343" s="175">
        <f t="array" ref="R343">LEN(C343)-SUM((LEN(C343)-LEN(SUBSTITUTE(C343,修饰列表!$B$2:$B$80,修饰列表!$D$2:$D$80))))</f>
        <v>0</v>
      </c>
    </row>
    <row r="344" spans="1:18">
      <c r="A344" s="171"/>
      <c r="B344" s="181"/>
      <c r="C344" s="182"/>
      <c r="D344" s="182"/>
      <c r="E344" s="18"/>
      <c r="F344" s="173"/>
      <c r="G344" s="173"/>
      <c r="H344" s="173"/>
      <c r="I344" s="173"/>
      <c r="J344" s="173"/>
      <c r="K344" s="173"/>
      <c r="L344" s="173"/>
      <c r="M344" s="13"/>
      <c r="N344" s="13"/>
      <c r="O344" s="13"/>
      <c r="P344" s="13"/>
      <c r="Q344" s="173"/>
      <c r="R344" s="175">
        <f t="array" ref="R344">LEN(C344)-SUM((LEN(C344)-LEN(SUBSTITUTE(C344,修饰列表!$B$2:$B$80,修饰列表!$D$2:$D$80))))</f>
        <v>0</v>
      </c>
    </row>
    <row r="345" spans="1:18">
      <c r="A345" s="171"/>
      <c r="B345" s="181"/>
      <c r="C345" s="182"/>
      <c r="D345" s="182"/>
      <c r="E345" s="18"/>
      <c r="F345" s="173"/>
      <c r="G345" s="173"/>
      <c r="H345" s="173"/>
      <c r="I345" s="173"/>
      <c r="J345" s="173"/>
      <c r="K345" s="173"/>
      <c r="L345" s="173"/>
      <c r="M345" s="13"/>
      <c r="N345" s="13"/>
      <c r="O345" s="13"/>
      <c r="P345" s="13"/>
      <c r="Q345" s="173"/>
      <c r="R345" s="175">
        <f t="array" ref="R345">LEN(C345)-SUM((LEN(C345)-LEN(SUBSTITUTE(C345,修饰列表!$B$2:$B$80,修饰列表!$D$2:$D$80))))</f>
        <v>0</v>
      </c>
    </row>
    <row r="346" spans="1:18">
      <c r="A346" s="171"/>
      <c r="B346" s="181"/>
      <c r="C346" s="182"/>
      <c r="D346" s="182"/>
      <c r="E346" s="18"/>
      <c r="F346" s="173"/>
      <c r="G346" s="173"/>
      <c r="H346" s="173"/>
      <c r="I346" s="173"/>
      <c r="J346" s="173"/>
      <c r="K346" s="173"/>
      <c r="L346" s="173"/>
      <c r="M346" s="13"/>
      <c r="N346" s="13"/>
      <c r="O346" s="13"/>
      <c r="P346" s="13"/>
      <c r="Q346" s="173"/>
      <c r="R346" s="175">
        <f t="array" ref="R346">LEN(C346)-SUM((LEN(C346)-LEN(SUBSTITUTE(C346,修饰列表!$B$2:$B$80,修饰列表!$D$2:$D$80))))</f>
        <v>0</v>
      </c>
    </row>
    <row r="347" spans="1:18">
      <c r="A347" s="171"/>
      <c r="B347" s="181"/>
      <c r="C347" s="182"/>
      <c r="D347" s="182"/>
      <c r="E347" s="18"/>
      <c r="F347" s="173"/>
      <c r="G347" s="173"/>
      <c r="H347" s="173"/>
      <c r="I347" s="173"/>
      <c r="J347" s="173"/>
      <c r="K347" s="173"/>
      <c r="L347" s="173"/>
      <c r="M347" s="13"/>
      <c r="N347" s="13"/>
      <c r="O347" s="13"/>
      <c r="P347" s="13"/>
      <c r="Q347" s="173"/>
      <c r="R347" s="175">
        <f t="array" ref="R347">LEN(C347)-SUM((LEN(C347)-LEN(SUBSTITUTE(C347,修饰列表!$B$2:$B$80,修饰列表!$D$2:$D$80))))</f>
        <v>0</v>
      </c>
    </row>
    <row r="348" spans="1:18">
      <c r="A348" s="171"/>
      <c r="B348" s="181"/>
      <c r="C348" s="182"/>
      <c r="D348" s="182"/>
      <c r="E348" s="18"/>
      <c r="F348" s="173"/>
      <c r="G348" s="173"/>
      <c r="H348" s="173"/>
      <c r="I348" s="173"/>
      <c r="J348" s="173"/>
      <c r="K348" s="173"/>
      <c r="L348" s="173"/>
      <c r="M348" s="13"/>
      <c r="N348" s="13"/>
      <c r="O348" s="13"/>
      <c r="P348" s="13"/>
      <c r="Q348" s="173"/>
      <c r="R348" s="175">
        <f t="array" ref="R348">LEN(C348)-SUM((LEN(C348)-LEN(SUBSTITUTE(C348,修饰列表!$B$2:$B$80,修饰列表!$D$2:$D$80))))</f>
        <v>0</v>
      </c>
    </row>
    <row r="349" spans="1:18">
      <c r="A349" s="171"/>
      <c r="B349" s="181"/>
      <c r="C349" s="182"/>
      <c r="D349" s="182"/>
      <c r="E349" s="18"/>
      <c r="F349" s="173"/>
      <c r="G349" s="173"/>
      <c r="H349" s="173"/>
      <c r="I349" s="173"/>
      <c r="J349" s="173"/>
      <c r="K349" s="173"/>
      <c r="L349" s="173"/>
      <c r="M349" s="13"/>
      <c r="N349" s="13"/>
      <c r="O349" s="13"/>
      <c r="P349" s="13"/>
      <c r="Q349" s="173"/>
      <c r="R349" s="175">
        <f t="array" ref="R349">LEN(C349)-SUM((LEN(C349)-LEN(SUBSTITUTE(C349,修饰列表!$B$2:$B$80,修饰列表!$D$2:$D$80))))</f>
        <v>0</v>
      </c>
    </row>
    <row r="350" spans="1:18">
      <c r="A350" s="171"/>
      <c r="B350" s="181"/>
      <c r="C350" s="182"/>
      <c r="D350" s="182"/>
      <c r="E350" s="18"/>
      <c r="F350" s="173"/>
      <c r="G350" s="173"/>
      <c r="H350" s="173"/>
      <c r="I350" s="173"/>
      <c r="J350" s="173"/>
      <c r="K350" s="173"/>
      <c r="L350" s="173"/>
      <c r="M350" s="13"/>
      <c r="N350" s="13"/>
      <c r="O350" s="13"/>
      <c r="P350" s="13"/>
      <c r="Q350" s="173"/>
      <c r="R350" s="175">
        <f t="array" ref="R350">LEN(C350)-SUM((LEN(C350)-LEN(SUBSTITUTE(C350,修饰列表!$B$2:$B$80,修饰列表!$D$2:$D$80))))</f>
        <v>0</v>
      </c>
    </row>
    <row r="351" spans="1:18">
      <c r="A351" s="171"/>
      <c r="B351" s="181"/>
      <c r="C351" s="182"/>
      <c r="D351" s="182"/>
      <c r="E351" s="18"/>
      <c r="F351" s="173"/>
      <c r="G351" s="173"/>
      <c r="H351" s="173"/>
      <c r="I351" s="173"/>
      <c r="J351" s="173"/>
      <c r="K351" s="173"/>
      <c r="L351" s="173"/>
      <c r="M351" s="13"/>
      <c r="N351" s="13"/>
      <c r="O351" s="13"/>
      <c r="P351" s="13"/>
      <c r="Q351" s="173"/>
      <c r="R351" s="175">
        <f t="array" ref="R351">LEN(C351)-SUM((LEN(C351)-LEN(SUBSTITUTE(C351,修饰列表!$B$2:$B$80,修饰列表!$D$2:$D$80))))</f>
        <v>0</v>
      </c>
    </row>
    <row r="352" spans="1:18">
      <c r="A352" s="171"/>
      <c r="B352" s="181"/>
      <c r="C352" s="182"/>
      <c r="D352" s="182"/>
      <c r="E352" s="18"/>
      <c r="F352" s="173"/>
      <c r="G352" s="173"/>
      <c r="H352" s="173"/>
      <c r="I352" s="173"/>
      <c r="J352" s="173"/>
      <c r="K352" s="173"/>
      <c r="L352" s="173"/>
      <c r="M352" s="13"/>
      <c r="N352" s="13"/>
      <c r="O352" s="13"/>
      <c r="P352" s="13"/>
      <c r="Q352" s="173"/>
      <c r="R352" s="175">
        <f t="array" ref="R352">LEN(C352)-SUM((LEN(C352)-LEN(SUBSTITUTE(C352,修饰列表!$B$2:$B$80,修饰列表!$D$2:$D$80))))</f>
        <v>0</v>
      </c>
    </row>
    <row r="353" spans="1:18">
      <c r="A353" s="171"/>
      <c r="B353" s="181"/>
      <c r="C353" s="182"/>
      <c r="D353" s="182"/>
      <c r="E353" s="18"/>
      <c r="F353" s="173"/>
      <c r="G353" s="173"/>
      <c r="H353" s="173"/>
      <c r="I353" s="173"/>
      <c r="J353" s="173"/>
      <c r="K353" s="173"/>
      <c r="L353" s="173"/>
      <c r="M353" s="13"/>
      <c r="N353" s="13"/>
      <c r="O353" s="13"/>
      <c r="P353" s="13"/>
      <c r="Q353" s="173"/>
      <c r="R353" s="175">
        <f t="array" ref="R353">LEN(C353)-SUM((LEN(C353)-LEN(SUBSTITUTE(C353,修饰列表!$B$2:$B$80,修饰列表!$D$2:$D$80))))</f>
        <v>0</v>
      </c>
    </row>
    <row r="354" spans="1:18">
      <c r="A354" s="171"/>
      <c r="B354" s="181"/>
      <c r="C354" s="182"/>
      <c r="D354" s="182"/>
      <c r="E354" s="18"/>
      <c r="F354" s="173"/>
      <c r="G354" s="173"/>
      <c r="H354" s="173"/>
      <c r="I354" s="173"/>
      <c r="J354" s="173"/>
      <c r="K354" s="173"/>
      <c r="L354" s="173"/>
      <c r="M354" s="13"/>
      <c r="N354" s="13"/>
      <c r="O354" s="13"/>
      <c r="P354" s="13"/>
      <c r="Q354" s="173"/>
      <c r="R354" s="175">
        <f t="array" ref="R354">LEN(C354)-SUM((LEN(C354)-LEN(SUBSTITUTE(C354,修饰列表!$B$2:$B$80,修饰列表!$D$2:$D$80))))</f>
        <v>0</v>
      </c>
    </row>
    <row r="355" spans="1:18">
      <c r="A355" s="171"/>
      <c r="B355" s="181"/>
      <c r="C355" s="182"/>
      <c r="D355" s="182"/>
      <c r="E355" s="18"/>
      <c r="F355" s="173"/>
      <c r="G355" s="173"/>
      <c r="H355" s="173"/>
      <c r="I355" s="173"/>
      <c r="J355" s="173"/>
      <c r="K355" s="173"/>
      <c r="L355" s="173"/>
      <c r="M355" s="13"/>
      <c r="N355" s="13"/>
      <c r="O355" s="13"/>
      <c r="P355" s="13"/>
      <c r="Q355" s="173"/>
      <c r="R355" s="175">
        <f t="array" ref="R355">LEN(C355)-SUM((LEN(C355)-LEN(SUBSTITUTE(C355,修饰列表!$B$2:$B$80,修饰列表!$D$2:$D$80))))</f>
        <v>0</v>
      </c>
    </row>
    <row r="356" spans="1:18">
      <c r="A356" s="171"/>
      <c r="B356" s="181"/>
      <c r="C356" s="182"/>
      <c r="D356" s="182"/>
      <c r="E356" s="18"/>
      <c r="F356" s="173"/>
      <c r="G356" s="173"/>
      <c r="H356" s="173"/>
      <c r="I356" s="173"/>
      <c r="J356" s="173"/>
      <c r="K356" s="173"/>
      <c r="L356" s="173"/>
      <c r="M356" s="13"/>
      <c r="N356" s="13"/>
      <c r="O356" s="13"/>
      <c r="P356" s="13"/>
      <c r="Q356" s="173"/>
      <c r="R356" s="175">
        <f t="array" ref="R356">LEN(C356)-SUM((LEN(C356)-LEN(SUBSTITUTE(C356,修饰列表!$B$2:$B$80,修饰列表!$D$2:$D$80))))</f>
        <v>0</v>
      </c>
    </row>
    <row r="357" spans="1:18">
      <c r="A357" s="171"/>
      <c r="B357" s="181"/>
      <c r="C357" s="182"/>
      <c r="D357" s="182"/>
      <c r="E357" s="18"/>
      <c r="F357" s="173"/>
      <c r="G357" s="173"/>
      <c r="H357" s="173"/>
      <c r="I357" s="173"/>
      <c r="J357" s="173"/>
      <c r="K357" s="173"/>
      <c r="L357" s="173"/>
      <c r="M357" s="13"/>
      <c r="N357" s="13"/>
      <c r="O357" s="13"/>
      <c r="P357" s="13"/>
      <c r="Q357" s="173"/>
      <c r="R357" s="175">
        <f t="array" ref="R357">LEN(C357)-SUM((LEN(C357)-LEN(SUBSTITUTE(C357,修饰列表!$B$2:$B$80,修饰列表!$D$2:$D$80))))</f>
        <v>0</v>
      </c>
    </row>
    <row r="358" spans="1:18">
      <c r="A358" s="171"/>
      <c r="B358" s="181"/>
      <c r="C358" s="182"/>
      <c r="D358" s="182"/>
      <c r="E358" s="18"/>
      <c r="F358" s="173"/>
      <c r="G358" s="173"/>
      <c r="H358" s="173"/>
      <c r="I358" s="173"/>
      <c r="J358" s="173"/>
      <c r="K358" s="173"/>
      <c r="L358" s="173"/>
      <c r="M358" s="13"/>
      <c r="N358" s="13"/>
      <c r="O358" s="13"/>
      <c r="P358" s="13"/>
      <c r="Q358" s="173"/>
      <c r="R358" s="175">
        <f t="array" ref="R358">LEN(C358)-SUM((LEN(C358)-LEN(SUBSTITUTE(C358,修饰列表!$B$2:$B$80,修饰列表!$D$2:$D$80))))</f>
        <v>0</v>
      </c>
    </row>
    <row r="359" spans="1:18">
      <c r="A359" s="171"/>
      <c r="B359" s="181"/>
      <c r="C359" s="182"/>
      <c r="D359" s="182"/>
      <c r="E359" s="18"/>
      <c r="F359" s="173"/>
      <c r="G359" s="173"/>
      <c r="H359" s="173"/>
      <c r="I359" s="173"/>
      <c r="J359" s="173"/>
      <c r="K359" s="173"/>
      <c r="L359" s="173"/>
      <c r="M359" s="13"/>
      <c r="N359" s="13"/>
      <c r="O359" s="13"/>
      <c r="P359" s="13"/>
      <c r="Q359" s="173"/>
      <c r="R359" s="175">
        <f t="array" ref="R359">LEN(C359)-SUM((LEN(C359)-LEN(SUBSTITUTE(C359,修饰列表!$B$2:$B$80,修饰列表!$D$2:$D$80))))</f>
        <v>0</v>
      </c>
    </row>
    <row r="360" spans="1:18">
      <c r="A360" s="171"/>
      <c r="B360" s="181"/>
      <c r="C360" s="182"/>
      <c r="D360" s="182"/>
      <c r="E360" s="18"/>
      <c r="F360" s="173"/>
      <c r="G360" s="173"/>
      <c r="H360" s="173"/>
      <c r="I360" s="173"/>
      <c r="J360" s="173"/>
      <c r="K360" s="173"/>
      <c r="L360" s="173"/>
      <c r="M360" s="13"/>
      <c r="N360" s="13"/>
      <c r="O360" s="13"/>
      <c r="P360" s="13"/>
      <c r="Q360" s="173"/>
      <c r="R360" s="175">
        <f t="array" ref="R360">LEN(C360)-SUM((LEN(C360)-LEN(SUBSTITUTE(C360,修饰列表!$B$2:$B$80,修饰列表!$D$2:$D$80))))</f>
        <v>0</v>
      </c>
    </row>
    <row r="361" spans="1:18">
      <c r="A361" s="171"/>
      <c r="B361" s="181"/>
      <c r="C361" s="182"/>
      <c r="D361" s="182"/>
      <c r="E361" s="18"/>
      <c r="F361" s="173"/>
      <c r="G361" s="173"/>
      <c r="H361" s="173"/>
      <c r="I361" s="173"/>
      <c r="J361" s="173"/>
      <c r="K361" s="173"/>
      <c r="L361" s="173"/>
      <c r="M361" s="13"/>
      <c r="N361" s="13"/>
      <c r="O361" s="13"/>
      <c r="P361" s="13"/>
      <c r="Q361" s="173"/>
      <c r="R361" s="175">
        <f t="array" ref="R361">LEN(C361)-SUM((LEN(C361)-LEN(SUBSTITUTE(C361,修饰列表!$B$2:$B$80,修饰列表!$D$2:$D$80))))</f>
        <v>0</v>
      </c>
    </row>
    <row r="362" spans="1:18">
      <c r="A362" s="171"/>
      <c r="B362" s="181"/>
      <c r="C362" s="182"/>
      <c r="D362" s="182"/>
      <c r="E362" s="18"/>
      <c r="F362" s="173"/>
      <c r="G362" s="173"/>
      <c r="H362" s="173"/>
      <c r="I362" s="173"/>
      <c r="J362" s="173"/>
      <c r="K362" s="173"/>
      <c r="L362" s="173"/>
      <c r="M362" s="13"/>
      <c r="N362" s="13"/>
      <c r="O362" s="13"/>
      <c r="P362" s="13"/>
      <c r="Q362" s="173"/>
      <c r="R362" s="175">
        <f t="array" ref="R362">LEN(C362)-SUM((LEN(C362)-LEN(SUBSTITUTE(C362,修饰列表!$B$2:$B$80,修饰列表!$D$2:$D$80))))</f>
        <v>0</v>
      </c>
    </row>
    <row r="363" spans="1:18">
      <c r="A363" s="171"/>
      <c r="B363" s="181"/>
      <c r="C363" s="182"/>
      <c r="D363" s="182"/>
      <c r="E363" s="18"/>
      <c r="F363" s="173"/>
      <c r="G363" s="173"/>
      <c r="H363" s="173"/>
      <c r="I363" s="173"/>
      <c r="J363" s="173"/>
      <c r="K363" s="173"/>
      <c r="L363" s="173"/>
      <c r="M363" s="13"/>
      <c r="N363" s="13"/>
      <c r="O363" s="13"/>
      <c r="P363" s="13"/>
      <c r="Q363" s="173"/>
      <c r="R363" s="175">
        <f t="array" ref="R363">LEN(C363)-SUM((LEN(C363)-LEN(SUBSTITUTE(C363,修饰列表!$B$2:$B$80,修饰列表!$D$2:$D$80))))</f>
        <v>0</v>
      </c>
    </row>
    <row r="364" spans="1:18">
      <c r="A364" s="171"/>
      <c r="B364" s="181"/>
      <c r="C364" s="182"/>
      <c r="D364" s="182"/>
      <c r="E364" s="18"/>
      <c r="F364" s="173"/>
      <c r="G364" s="173"/>
      <c r="H364" s="173"/>
      <c r="I364" s="173"/>
      <c r="J364" s="173"/>
      <c r="K364" s="173"/>
      <c r="L364" s="173"/>
      <c r="M364" s="13"/>
      <c r="N364" s="13"/>
      <c r="O364" s="13"/>
      <c r="P364" s="13"/>
      <c r="Q364" s="173"/>
      <c r="R364" s="175">
        <f t="array" ref="R364">LEN(C364)-SUM((LEN(C364)-LEN(SUBSTITUTE(C364,修饰列表!$B$2:$B$80,修饰列表!$D$2:$D$80))))</f>
        <v>0</v>
      </c>
    </row>
    <row r="365" spans="1:18">
      <c r="A365" s="171"/>
      <c r="B365" s="181"/>
      <c r="C365" s="182"/>
      <c r="D365" s="182"/>
      <c r="E365" s="18"/>
      <c r="F365" s="173"/>
      <c r="G365" s="173"/>
      <c r="H365" s="173"/>
      <c r="I365" s="173"/>
      <c r="J365" s="173"/>
      <c r="K365" s="173"/>
      <c r="L365" s="173"/>
      <c r="M365" s="13"/>
      <c r="N365" s="13"/>
      <c r="O365" s="13"/>
      <c r="P365" s="13"/>
      <c r="Q365" s="173"/>
      <c r="R365" s="175">
        <f t="array" ref="R365">LEN(C365)-SUM((LEN(C365)-LEN(SUBSTITUTE(C365,修饰列表!$B$2:$B$80,修饰列表!$D$2:$D$80))))</f>
        <v>0</v>
      </c>
    </row>
    <row r="366" spans="1:18">
      <c r="A366" s="171"/>
      <c r="B366" s="181"/>
      <c r="C366" s="182"/>
      <c r="D366" s="182"/>
      <c r="E366" s="18"/>
      <c r="F366" s="173"/>
      <c r="G366" s="173"/>
      <c r="H366" s="173"/>
      <c r="I366" s="173"/>
      <c r="J366" s="173"/>
      <c r="K366" s="173"/>
      <c r="L366" s="173"/>
      <c r="M366" s="13"/>
      <c r="N366" s="13"/>
      <c r="O366" s="13"/>
      <c r="P366" s="13"/>
      <c r="Q366" s="173"/>
      <c r="R366" s="175">
        <f t="array" ref="R366">LEN(C366)-SUM((LEN(C366)-LEN(SUBSTITUTE(C366,修饰列表!$B$2:$B$80,修饰列表!$D$2:$D$80))))</f>
        <v>0</v>
      </c>
    </row>
    <row r="367" spans="1:18">
      <c r="A367" s="171"/>
      <c r="B367" s="181"/>
      <c r="C367" s="182"/>
      <c r="D367" s="182"/>
      <c r="E367" s="18"/>
      <c r="F367" s="173"/>
      <c r="G367" s="173"/>
      <c r="H367" s="173"/>
      <c r="I367" s="173"/>
      <c r="J367" s="173"/>
      <c r="K367" s="173"/>
      <c r="L367" s="173"/>
      <c r="M367" s="13"/>
      <c r="N367" s="13"/>
      <c r="O367" s="13"/>
      <c r="P367" s="13"/>
      <c r="Q367" s="173"/>
      <c r="R367" s="175">
        <f t="array" ref="R367">LEN(C367)-SUM((LEN(C367)-LEN(SUBSTITUTE(C367,修饰列表!$B$2:$B$80,修饰列表!$D$2:$D$80))))</f>
        <v>0</v>
      </c>
    </row>
    <row r="368" spans="1:18">
      <c r="A368" s="171"/>
      <c r="B368" s="181"/>
      <c r="C368" s="182"/>
      <c r="D368" s="182"/>
      <c r="E368" s="18"/>
      <c r="F368" s="173"/>
      <c r="G368" s="173"/>
      <c r="H368" s="173"/>
      <c r="I368" s="173"/>
      <c r="J368" s="173"/>
      <c r="K368" s="173"/>
      <c r="L368" s="173"/>
      <c r="M368" s="13"/>
      <c r="N368" s="13"/>
      <c r="O368" s="13"/>
      <c r="P368" s="13"/>
      <c r="Q368" s="173"/>
      <c r="R368" s="175">
        <f t="array" ref="R368">LEN(C368)-SUM((LEN(C368)-LEN(SUBSTITUTE(C368,修饰列表!$B$2:$B$80,修饰列表!$D$2:$D$80))))</f>
        <v>0</v>
      </c>
    </row>
    <row r="369" spans="1:18">
      <c r="A369" s="171"/>
      <c r="B369" s="181"/>
      <c r="C369" s="182"/>
      <c r="D369" s="182"/>
      <c r="E369" s="18"/>
      <c r="F369" s="173"/>
      <c r="G369" s="173"/>
      <c r="H369" s="173"/>
      <c r="I369" s="173"/>
      <c r="J369" s="173"/>
      <c r="K369" s="173"/>
      <c r="L369" s="173"/>
      <c r="M369" s="13"/>
      <c r="N369" s="13"/>
      <c r="O369" s="13"/>
      <c r="P369" s="13"/>
      <c r="Q369" s="173"/>
      <c r="R369" s="175">
        <f t="array" ref="R369">LEN(C369)-SUM((LEN(C369)-LEN(SUBSTITUTE(C369,修饰列表!$B$2:$B$80,修饰列表!$D$2:$D$80))))</f>
        <v>0</v>
      </c>
    </row>
    <row r="370" spans="1:18">
      <c r="A370" s="171"/>
      <c r="B370" s="181"/>
      <c r="C370" s="182"/>
      <c r="D370" s="182"/>
      <c r="E370" s="18"/>
      <c r="F370" s="173"/>
      <c r="G370" s="173"/>
      <c r="H370" s="173"/>
      <c r="I370" s="173"/>
      <c r="J370" s="173"/>
      <c r="K370" s="173"/>
      <c r="L370" s="173"/>
      <c r="M370" s="13"/>
      <c r="N370" s="13"/>
      <c r="O370" s="13"/>
      <c r="P370" s="13"/>
      <c r="Q370" s="173"/>
      <c r="R370" s="175">
        <f t="array" ref="R370">LEN(C370)-SUM((LEN(C370)-LEN(SUBSTITUTE(C370,修饰列表!$B$2:$B$80,修饰列表!$D$2:$D$80))))</f>
        <v>0</v>
      </c>
    </row>
    <row r="371" spans="1:18">
      <c r="A371" s="171"/>
      <c r="B371" s="181"/>
      <c r="C371" s="182"/>
      <c r="D371" s="182"/>
      <c r="E371" s="18"/>
      <c r="F371" s="173"/>
      <c r="G371" s="173"/>
      <c r="H371" s="173"/>
      <c r="I371" s="173"/>
      <c r="J371" s="173"/>
      <c r="K371" s="173"/>
      <c r="L371" s="173"/>
      <c r="M371" s="13"/>
      <c r="N371" s="13"/>
      <c r="O371" s="13"/>
      <c r="P371" s="13"/>
      <c r="Q371" s="173"/>
      <c r="R371" s="175">
        <f t="array" ref="R371">LEN(C371)-SUM((LEN(C371)-LEN(SUBSTITUTE(C371,修饰列表!$B$2:$B$80,修饰列表!$D$2:$D$80))))</f>
        <v>0</v>
      </c>
    </row>
    <row r="372" spans="1:18">
      <c r="A372" s="171"/>
      <c r="B372" s="181"/>
      <c r="C372" s="182"/>
      <c r="D372" s="182"/>
      <c r="E372" s="18"/>
      <c r="F372" s="173"/>
      <c r="G372" s="173"/>
      <c r="H372" s="173"/>
      <c r="I372" s="173"/>
      <c r="J372" s="173"/>
      <c r="K372" s="173"/>
      <c r="L372" s="173"/>
      <c r="M372" s="13"/>
      <c r="N372" s="13"/>
      <c r="O372" s="13"/>
      <c r="P372" s="13"/>
      <c r="Q372" s="173"/>
      <c r="R372" s="175">
        <f t="array" ref="R372">LEN(C372)-SUM((LEN(C372)-LEN(SUBSTITUTE(C372,修饰列表!$B$2:$B$80,修饰列表!$D$2:$D$80))))</f>
        <v>0</v>
      </c>
    </row>
    <row r="373" spans="1:18">
      <c r="A373" s="171"/>
      <c r="B373" s="181"/>
      <c r="C373" s="182"/>
      <c r="D373" s="182"/>
      <c r="E373" s="18"/>
      <c r="F373" s="173"/>
      <c r="G373" s="173"/>
      <c r="H373" s="173"/>
      <c r="I373" s="173"/>
      <c r="J373" s="173"/>
      <c r="K373" s="173"/>
      <c r="L373" s="173"/>
      <c r="M373" s="13"/>
      <c r="N373" s="13"/>
      <c r="O373" s="13"/>
      <c r="P373" s="13"/>
      <c r="Q373" s="173"/>
      <c r="R373" s="175">
        <f t="array" ref="R373">LEN(C373)-SUM((LEN(C373)-LEN(SUBSTITUTE(C373,修饰列表!$B$2:$B$80,修饰列表!$D$2:$D$80))))</f>
        <v>0</v>
      </c>
    </row>
    <row r="374" spans="1:18">
      <c r="A374" s="171"/>
      <c r="B374" s="181"/>
      <c r="C374" s="182"/>
      <c r="D374" s="182"/>
      <c r="E374" s="18"/>
      <c r="F374" s="173"/>
      <c r="G374" s="173"/>
      <c r="H374" s="173"/>
      <c r="I374" s="173"/>
      <c r="J374" s="173"/>
      <c r="K374" s="173"/>
      <c r="L374" s="173"/>
      <c r="M374" s="13"/>
      <c r="N374" s="13"/>
      <c r="O374" s="13"/>
      <c r="P374" s="13"/>
      <c r="Q374" s="173"/>
      <c r="R374" s="175">
        <f t="array" ref="R374">LEN(C374)-SUM((LEN(C374)-LEN(SUBSTITUTE(C374,修饰列表!$B$2:$B$80,修饰列表!$D$2:$D$80))))</f>
        <v>0</v>
      </c>
    </row>
    <row r="375" spans="1:18">
      <c r="A375" s="171"/>
      <c r="B375" s="181"/>
      <c r="C375" s="182"/>
      <c r="D375" s="182"/>
      <c r="E375" s="18"/>
      <c r="F375" s="173"/>
      <c r="G375" s="173"/>
      <c r="H375" s="173"/>
      <c r="I375" s="173"/>
      <c r="J375" s="173"/>
      <c r="K375" s="173"/>
      <c r="L375" s="173"/>
      <c r="M375" s="13"/>
      <c r="N375" s="13"/>
      <c r="O375" s="13"/>
      <c r="P375" s="13"/>
      <c r="Q375" s="173"/>
      <c r="R375" s="175">
        <f t="array" ref="R375">LEN(C375)-SUM((LEN(C375)-LEN(SUBSTITUTE(C375,修饰列表!$B$2:$B$80,修饰列表!$D$2:$D$80))))</f>
        <v>0</v>
      </c>
    </row>
    <row r="376" spans="1:18">
      <c r="A376" s="171"/>
      <c r="B376" s="181"/>
      <c r="C376" s="182"/>
      <c r="D376" s="182"/>
      <c r="E376" s="18"/>
      <c r="F376" s="173"/>
      <c r="G376" s="173"/>
      <c r="H376" s="173"/>
      <c r="I376" s="173"/>
      <c r="J376" s="173"/>
      <c r="K376" s="173"/>
      <c r="L376" s="173"/>
      <c r="M376" s="13"/>
      <c r="N376" s="13"/>
      <c r="O376" s="13"/>
      <c r="P376" s="13"/>
      <c r="Q376" s="173"/>
      <c r="R376" s="175">
        <f t="array" ref="R376">LEN(C376)-SUM((LEN(C376)-LEN(SUBSTITUTE(C376,修饰列表!$B$2:$B$80,修饰列表!$D$2:$D$80))))</f>
        <v>0</v>
      </c>
    </row>
    <row r="377" spans="1:18">
      <c r="A377" s="171"/>
      <c r="B377" s="181"/>
      <c r="C377" s="182"/>
      <c r="D377" s="182"/>
      <c r="E377" s="18"/>
      <c r="F377" s="173"/>
      <c r="G377" s="173"/>
      <c r="H377" s="173"/>
      <c r="I377" s="173"/>
      <c r="J377" s="173"/>
      <c r="K377" s="173"/>
      <c r="L377" s="173"/>
      <c r="M377" s="13"/>
      <c r="N377" s="13"/>
      <c r="O377" s="13"/>
      <c r="P377" s="13"/>
      <c r="Q377" s="173"/>
      <c r="R377" s="175">
        <f t="array" ref="R377">LEN(C377)-SUM((LEN(C377)-LEN(SUBSTITUTE(C377,修饰列表!$B$2:$B$80,修饰列表!$D$2:$D$80))))</f>
        <v>0</v>
      </c>
    </row>
    <row r="378" spans="1:18">
      <c r="A378" s="171"/>
      <c r="B378" s="181"/>
      <c r="C378" s="182"/>
      <c r="D378" s="182"/>
      <c r="E378" s="18"/>
      <c r="F378" s="173"/>
      <c r="G378" s="173"/>
      <c r="H378" s="173"/>
      <c r="I378" s="173"/>
      <c r="J378" s="173"/>
      <c r="K378" s="173"/>
      <c r="L378" s="173"/>
      <c r="M378" s="13"/>
      <c r="N378" s="13"/>
      <c r="O378" s="13"/>
      <c r="P378" s="13"/>
      <c r="Q378" s="173"/>
      <c r="R378" s="175">
        <f t="array" ref="R378">LEN(C378)-SUM((LEN(C378)-LEN(SUBSTITUTE(C378,修饰列表!$B$2:$B$80,修饰列表!$D$2:$D$80))))</f>
        <v>0</v>
      </c>
    </row>
    <row r="379" spans="1:18">
      <c r="A379" s="171"/>
      <c r="B379" s="181"/>
      <c r="C379" s="182"/>
      <c r="D379" s="182"/>
      <c r="E379" s="18"/>
      <c r="F379" s="173"/>
      <c r="G379" s="173"/>
      <c r="H379" s="173"/>
      <c r="I379" s="173"/>
      <c r="J379" s="173"/>
      <c r="K379" s="173"/>
      <c r="L379" s="173"/>
      <c r="M379" s="13"/>
      <c r="N379" s="13"/>
      <c r="O379" s="13"/>
      <c r="P379" s="13"/>
      <c r="Q379" s="173"/>
      <c r="R379" s="175">
        <f t="array" ref="R379">LEN(C379)-SUM((LEN(C379)-LEN(SUBSTITUTE(C379,修饰列表!$B$2:$B$80,修饰列表!$D$2:$D$80))))</f>
        <v>0</v>
      </c>
    </row>
    <row r="380" spans="1:18">
      <c r="A380" s="171"/>
      <c r="B380" s="181"/>
      <c r="C380" s="182"/>
      <c r="D380" s="182"/>
      <c r="E380" s="18"/>
      <c r="F380" s="173"/>
      <c r="G380" s="173"/>
      <c r="H380" s="173"/>
      <c r="I380" s="173"/>
      <c r="J380" s="173"/>
      <c r="K380" s="173"/>
      <c r="L380" s="173"/>
      <c r="M380" s="13"/>
      <c r="N380" s="13"/>
      <c r="O380" s="13"/>
      <c r="P380" s="13"/>
      <c r="Q380" s="173"/>
      <c r="R380" s="175">
        <f t="array" ref="R380">LEN(C380)-SUM((LEN(C380)-LEN(SUBSTITUTE(C380,修饰列表!$B$2:$B$80,修饰列表!$D$2:$D$80))))</f>
        <v>0</v>
      </c>
    </row>
    <row r="381" spans="1:18">
      <c r="A381" s="171"/>
      <c r="B381" s="181"/>
      <c r="C381" s="182"/>
      <c r="D381" s="182"/>
      <c r="E381" s="18"/>
      <c r="F381" s="173"/>
      <c r="G381" s="173"/>
      <c r="H381" s="173"/>
      <c r="I381" s="173"/>
      <c r="J381" s="173"/>
      <c r="K381" s="173"/>
      <c r="L381" s="173"/>
      <c r="M381" s="13"/>
      <c r="N381" s="13"/>
      <c r="O381" s="13"/>
      <c r="P381" s="13"/>
      <c r="Q381" s="173"/>
      <c r="R381" s="175">
        <f t="array" ref="R381">LEN(C381)-SUM((LEN(C381)-LEN(SUBSTITUTE(C381,修饰列表!$B$2:$B$80,修饰列表!$D$2:$D$80))))</f>
        <v>0</v>
      </c>
    </row>
    <row r="382" spans="1:18">
      <c r="A382" s="171"/>
      <c r="B382" s="181"/>
      <c r="C382" s="182"/>
      <c r="D382" s="182"/>
      <c r="E382" s="18"/>
      <c r="F382" s="173"/>
      <c r="G382" s="173"/>
      <c r="H382" s="173"/>
      <c r="I382" s="173"/>
      <c r="J382" s="173"/>
      <c r="K382" s="173"/>
      <c r="L382" s="173"/>
      <c r="M382" s="13"/>
      <c r="N382" s="13"/>
      <c r="O382" s="13"/>
      <c r="P382" s="13"/>
      <c r="Q382" s="173"/>
      <c r="R382" s="175">
        <f t="array" ref="R382">LEN(C382)-SUM((LEN(C382)-LEN(SUBSTITUTE(C382,修饰列表!$B$2:$B$80,修饰列表!$D$2:$D$80))))</f>
        <v>0</v>
      </c>
    </row>
    <row r="383" spans="1:18">
      <c r="A383" s="171"/>
      <c r="B383" s="181"/>
      <c r="C383" s="182"/>
      <c r="D383" s="182"/>
      <c r="E383" s="18"/>
      <c r="F383" s="173"/>
      <c r="G383" s="173"/>
      <c r="H383" s="173"/>
      <c r="I383" s="173"/>
      <c r="J383" s="173"/>
      <c r="K383" s="173"/>
      <c r="L383" s="173"/>
      <c r="M383" s="13"/>
      <c r="N383" s="13"/>
      <c r="O383" s="13"/>
      <c r="P383" s="13"/>
      <c r="Q383" s="173"/>
      <c r="R383" s="175">
        <f t="array" ref="R383">LEN(C383)-SUM((LEN(C383)-LEN(SUBSTITUTE(C383,修饰列表!$B$2:$B$80,修饰列表!$D$2:$D$80))))</f>
        <v>0</v>
      </c>
    </row>
    <row r="384" spans="1:18">
      <c r="A384" s="171"/>
      <c r="B384" s="181"/>
      <c r="C384" s="182"/>
      <c r="D384" s="182"/>
      <c r="E384" s="18"/>
      <c r="F384" s="173"/>
      <c r="G384" s="173"/>
      <c r="H384" s="173"/>
      <c r="I384" s="173"/>
      <c r="J384" s="173"/>
      <c r="K384" s="173"/>
      <c r="L384" s="173"/>
      <c r="M384" s="13"/>
      <c r="N384" s="13"/>
      <c r="O384" s="13"/>
      <c r="P384" s="13"/>
      <c r="Q384" s="173"/>
      <c r="R384" s="175">
        <f t="array" ref="R384">LEN(C384)-SUM((LEN(C384)-LEN(SUBSTITUTE(C384,修饰列表!$B$2:$B$80,修饰列表!$D$2:$D$80))))</f>
        <v>0</v>
      </c>
    </row>
    <row r="385" spans="1:18">
      <c r="A385" s="171"/>
      <c r="B385" s="181"/>
      <c r="C385" s="182"/>
      <c r="D385" s="182"/>
      <c r="E385" s="18"/>
      <c r="F385" s="173"/>
      <c r="G385" s="173"/>
      <c r="H385" s="173"/>
      <c r="I385" s="173"/>
      <c r="J385" s="173"/>
      <c r="K385" s="173"/>
      <c r="L385" s="173"/>
      <c r="M385" s="13"/>
      <c r="N385" s="13"/>
      <c r="O385" s="13"/>
      <c r="P385" s="13"/>
      <c r="Q385" s="173"/>
      <c r="R385" s="175">
        <f t="array" ref="R385">LEN(C385)-SUM((LEN(C385)-LEN(SUBSTITUTE(C385,修饰列表!$B$2:$B$80,修饰列表!$D$2:$D$80))))</f>
        <v>0</v>
      </c>
    </row>
    <row r="386" spans="1:18">
      <c r="A386" s="171"/>
      <c r="B386" s="181"/>
      <c r="C386" s="182"/>
      <c r="D386" s="182"/>
      <c r="E386" s="18"/>
      <c r="F386" s="173"/>
      <c r="G386" s="173"/>
      <c r="H386" s="173"/>
      <c r="I386" s="173"/>
      <c r="J386" s="173"/>
      <c r="K386" s="173"/>
      <c r="L386" s="173"/>
      <c r="M386" s="13"/>
      <c r="N386" s="13"/>
      <c r="O386" s="13"/>
      <c r="P386" s="13"/>
      <c r="Q386" s="173"/>
      <c r="R386" s="175">
        <f t="array" ref="R386">LEN(C386)-SUM((LEN(C386)-LEN(SUBSTITUTE(C386,修饰列表!$B$2:$B$80,修饰列表!$D$2:$D$80))))</f>
        <v>0</v>
      </c>
    </row>
    <row r="387" spans="1:18">
      <c r="A387" s="171"/>
      <c r="B387" s="181"/>
      <c r="C387" s="182"/>
      <c r="D387" s="182"/>
      <c r="E387" s="18"/>
      <c r="F387" s="173"/>
      <c r="G387" s="173"/>
      <c r="H387" s="173"/>
      <c r="I387" s="173"/>
      <c r="J387" s="173"/>
      <c r="K387" s="173"/>
      <c r="L387" s="173"/>
      <c r="M387" s="13"/>
      <c r="N387" s="13"/>
      <c r="O387" s="13"/>
      <c r="P387" s="13"/>
      <c r="Q387" s="173"/>
      <c r="R387" s="175">
        <f t="array" ref="R387">LEN(C387)-SUM((LEN(C387)-LEN(SUBSTITUTE(C387,修饰列表!$B$2:$B$80,修饰列表!$D$2:$D$80))))</f>
        <v>0</v>
      </c>
    </row>
    <row r="388" spans="1:18">
      <c r="A388" s="171"/>
      <c r="B388" s="181"/>
      <c r="C388" s="182"/>
      <c r="D388" s="182"/>
      <c r="E388" s="18"/>
      <c r="F388" s="173"/>
      <c r="G388" s="173"/>
      <c r="H388" s="173"/>
      <c r="I388" s="173"/>
      <c r="J388" s="173"/>
      <c r="K388" s="173"/>
      <c r="L388" s="173"/>
      <c r="M388" s="13"/>
      <c r="N388" s="13"/>
      <c r="O388" s="13"/>
      <c r="P388" s="13"/>
      <c r="Q388" s="173"/>
      <c r="R388" s="175">
        <f t="array" ref="R388">LEN(C388)-SUM((LEN(C388)-LEN(SUBSTITUTE(C388,修饰列表!$B$2:$B$80,修饰列表!$D$2:$D$80))))</f>
        <v>0</v>
      </c>
    </row>
    <row r="389" spans="1:18">
      <c r="A389" s="171"/>
      <c r="B389" s="181"/>
      <c r="C389" s="182"/>
      <c r="D389" s="182"/>
      <c r="E389" s="18"/>
      <c r="F389" s="173"/>
      <c r="G389" s="173"/>
      <c r="H389" s="173"/>
      <c r="I389" s="173"/>
      <c r="J389" s="173"/>
      <c r="K389" s="173"/>
      <c r="L389" s="173"/>
      <c r="M389" s="13"/>
      <c r="N389" s="13"/>
      <c r="O389" s="13"/>
      <c r="P389" s="13"/>
      <c r="Q389" s="173"/>
      <c r="R389" s="175">
        <f t="array" ref="R389">LEN(C389)-SUM((LEN(C389)-LEN(SUBSTITUTE(C389,修饰列表!$B$2:$B$80,修饰列表!$D$2:$D$80))))</f>
        <v>0</v>
      </c>
    </row>
    <row r="390" spans="1:18">
      <c r="A390" s="171"/>
      <c r="B390" s="181"/>
      <c r="C390" s="182"/>
      <c r="D390" s="182"/>
      <c r="E390" s="18"/>
      <c r="F390" s="173"/>
      <c r="G390" s="173"/>
      <c r="H390" s="173"/>
      <c r="I390" s="173"/>
      <c r="J390" s="173"/>
      <c r="K390" s="173"/>
      <c r="L390" s="173"/>
      <c r="M390" s="13"/>
      <c r="N390" s="13"/>
      <c r="O390" s="13"/>
      <c r="P390" s="13"/>
      <c r="Q390" s="173"/>
      <c r="R390" s="175">
        <f t="array" ref="R390">LEN(C390)-SUM((LEN(C390)-LEN(SUBSTITUTE(C390,修饰列表!$B$2:$B$80,修饰列表!$D$2:$D$80))))</f>
        <v>0</v>
      </c>
    </row>
    <row r="391" spans="1:18">
      <c r="A391" s="171"/>
      <c r="B391" s="181"/>
      <c r="C391" s="182"/>
      <c r="D391" s="182"/>
      <c r="E391" s="18"/>
      <c r="F391" s="173"/>
      <c r="G391" s="173"/>
      <c r="H391" s="173"/>
      <c r="I391" s="173"/>
      <c r="J391" s="173"/>
      <c r="K391" s="173"/>
      <c r="L391" s="173"/>
      <c r="M391" s="13"/>
      <c r="N391" s="13"/>
      <c r="O391" s="13"/>
      <c r="P391" s="13"/>
      <c r="Q391" s="173"/>
      <c r="R391" s="175">
        <f t="array" ref="R391">LEN(C391)-SUM((LEN(C391)-LEN(SUBSTITUTE(C391,修饰列表!$B$2:$B$80,修饰列表!$D$2:$D$80))))</f>
        <v>0</v>
      </c>
    </row>
    <row r="392" spans="1:18">
      <c r="A392" s="171"/>
      <c r="B392" s="181"/>
      <c r="C392" s="182"/>
      <c r="D392" s="182"/>
      <c r="E392" s="18"/>
      <c r="F392" s="173"/>
      <c r="G392" s="173"/>
      <c r="H392" s="173"/>
      <c r="I392" s="173"/>
      <c r="J392" s="173"/>
      <c r="K392" s="173"/>
      <c r="L392" s="173"/>
      <c r="M392" s="13"/>
      <c r="N392" s="13"/>
      <c r="O392" s="13"/>
      <c r="P392" s="13"/>
      <c r="Q392" s="173"/>
      <c r="R392" s="175">
        <f t="array" ref="R392">LEN(C392)-SUM((LEN(C392)-LEN(SUBSTITUTE(C392,修饰列表!$B$2:$B$80,修饰列表!$D$2:$D$80))))</f>
        <v>0</v>
      </c>
    </row>
    <row r="393" spans="1:18">
      <c r="A393" s="171"/>
      <c r="B393" s="181"/>
      <c r="C393" s="182"/>
      <c r="D393" s="182"/>
      <c r="E393" s="18"/>
      <c r="F393" s="173"/>
      <c r="G393" s="173"/>
      <c r="H393" s="173"/>
      <c r="I393" s="173"/>
      <c r="J393" s="173"/>
      <c r="K393" s="173"/>
      <c r="L393" s="173"/>
      <c r="M393" s="13"/>
      <c r="N393" s="13"/>
      <c r="O393" s="13"/>
      <c r="P393" s="13"/>
      <c r="Q393" s="173"/>
      <c r="R393" s="175">
        <f t="array" ref="R393">LEN(C393)-SUM((LEN(C393)-LEN(SUBSTITUTE(C393,修饰列表!$B$2:$B$80,修饰列表!$D$2:$D$80))))</f>
        <v>0</v>
      </c>
    </row>
    <row r="394" spans="1:18">
      <c r="A394" s="171"/>
      <c r="B394" s="181"/>
      <c r="C394" s="182"/>
      <c r="D394" s="182"/>
      <c r="E394" s="18"/>
      <c r="F394" s="173"/>
      <c r="G394" s="173"/>
      <c r="H394" s="173"/>
      <c r="I394" s="173"/>
      <c r="J394" s="173"/>
      <c r="K394" s="173"/>
      <c r="L394" s="173"/>
      <c r="M394" s="13"/>
      <c r="N394" s="13"/>
      <c r="O394" s="13"/>
      <c r="P394" s="13"/>
      <c r="Q394" s="173"/>
      <c r="R394" s="175">
        <f t="array" ref="R394">LEN(C394)-SUM((LEN(C394)-LEN(SUBSTITUTE(C394,修饰列表!$B$2:$B$80,修饰列表!$D$2:$D$80))))</f>
        <v>0</v>
      </c>
    </row>
    <row r="395" spans="1:18">
      <c r="A395" s="171"/>
      <c r="B395" s="181"/>
      <c r="C395" s="182"/>
      <c r="D395" s="182"/>
      <c r="E395" s="18"/>
      <c r="F395" s="173"/>
      <c r="G395" s="173"/>
      <c r="H395" s="173"/>
      <c r="I395" s="173"/>
      <c r="J395" s="173"/>
      <c r="K395" s="173"/>
      <c r="L395" s="173"/>
      <c r="M395" s="13"/>
      <c r="N395" s="13"/>
      <c r="O395" s="13"/>
      <c r="P395" s="13"/>
      <c r="Q395" s="173"/>
      <c r="R395" s="175">
        <f t="array" ref="R395">LEN(C395)-SUM((LEN(C395)-LEN(SUBSTITUTE(C395,修饰列表!$B$2:$B$80,修饰列表!$D$2:$D$80))))</f>
        <v>0</v>
      </c>
    </row>
    <row r="396" spans="1:18">
      <c r="A396" s="171"/>
      <c r="B396" s="181"/>
      <c r="C396" s="182"/>
      <c r="D396" s="182"/>
      <c r="E396" s="18"/>
      <c r="F396" s="173"/>
      <c r="G396" s="173"/>
      <c r="H396" s="173"/>
      <c r="I396" s="173"/>
      <c r="J396" s="173"/>
      <c r="K396" s="173"/>
      <c r="L396" s="173"/>
      <c r="M396" s="13"/>
      <c r="N396" s="13"/>
      <c r="O396" s="13"/>
      <c r="P396" s="13"/>
      <c r="Q396" s="173"/>
      <c r="R396" s="175">
        <f t="array" ref="R396">LEN(C396)-SUM((LEN(C396)-LEN(SUBSTITUTE(C396,修饰列表!$B$2:$B$80,修饰列表!$D$2:$D$80))))</f>
        <v>0</v>
      </c>
    </row>
    <row r="397" spans="1:18">
      <c r="A397" s="171"/>
      <c r="B397" s="181"/>
      <c r="C397" s="182"/>
      <c r="D397" s="182"/>
      <c r="E397" s="18"/>
      <c r="F397" s="173"/>
      <c r="G397" s="173"/>
      <c r="H397" s="173"/>
      <c r="I397" s="173"/>
      <c r="J397" s="173"/>
      <c r="K397" s="173"/>
      <c r="L397" s="173"/>
      <c r="M397" s="13"/>
      <c r="N397" s="13"/>
      <c r="O397" s="13"/>
      <c r="P397" s="13"/>
      <c r="Q397" s="173"/>
      <c r="R397" s="175">
        <f t="array" ref="R397">LEN(C397)-SUM((LEN(C397)-LEN(SUBSTITUTE(C397,修饰列表!$B$2:$B$80,修饰列表!$D$2:$D$80))))</f>
        <v>0</v>
      </c>
    </row>
    <row r="398" spans="1:18">
      <c r="A398" s="171"/>
      <c r="B398" s="181"/>
      <c r="C398" s="182"/>
      <c r="D398" s="182"/>
      <c r="E398" s="18"/>
      <c r="F398" s="173"/>
      <c r="G398" s="173"/>
      <c r="H398" s="173"/>
      <c r="I398" s="173"/>
      <c r="J398" s="173"/>
      <c r="K398" s="173"/>
      <c r="L398" s="173"/>
      <c r="M398" s="13"/>
      <c r="N398" s="13"/>
      <c r="O398" s="13"/>
      <c r="P398" s="13"/>
      <c r="Q398" s="173"/>
      <c r="R398" s="175">
        <f t="array" ref="R398">LEN(C398)-SUM((LEN(C398)-LEN(SUBSTITUTE(C398,修饰列表!$B$2:$B$80,修饰列表!$D$2:$D$80))))</f>
        <v>0</v>
      </c>
    </row>
    <row r="399" spans="1:18">
      <c r="A399" s="171"/>
      <c r="B399" s="181"/>
      <c r="C399" s="182"/>
      <c r="D399" s="182"/>
      <c r="E399" s="18"/>
      <c r="F399" s="173"/>
      <c r="G399" s="173"/>
      <c r="H399" s="173"/>
      <c r="I399" s="173"/>
      <c r="J399" s="173"/>
      <c r="K399" s="173"/>
      <c r="L399" s="173"/>
      <c r="M399" s="13"/>
      <c r="N399" s="13"/>
      <c r="O399" s="13"/>
      <c r="P399" s="13"/>
      <c r="Q399" s="173"/>
      <c r="R399" s="175">
        <f t="array" ref="R399">LEN(C399)-SUM((LEN(C399)-LEN(SUBSTITUTE(C399,修饰列表!$B$2:$B$80,修饰列表!$D$2:$D$80))))</f>
        <v>0</v>
      </c>
    </row>
    <row r="400" spans="1:18">
      <c r="A400" s="171"/>
      <c r="B400" s="181"/>
      <c r="C400" s="182"/>
      <c r="D400" s="182"/>
      <c r="E400" s="18"/>
      <c r="F400" s="173"/>
      <c r="G400" s="173"/>
      <c r="H400" s="173"/>
      <c r="I400" s="173"/>
      <c r="J400" s="173"/>
      <c r="K400" s="173"/>
      <c r="L400" s="173"/>
      <c r="M400" s="13"/>
      <c r="N400" s="13"/>
      <c r="O400" s="13"/>
      <c r="P400" s="13"/>
      <c r="Q400" s="173"/>
      <c r="R400" s="175">
        <f t="array" ref="R400">LEN(C400)-SUM((LEN(C400)-LEN(SUBSTITUTE(C400,修饰列表!$B$2:$B$80,修饰列表!$D$2:$D$80))))</f>
        <v>0</v>
      </c>
    </row>
  </sheetData>
  <mergeCells count="24">
    <mergeCell ref="B4:F4"/>
    <mergeCell ref="G4:R4"/>
    <mergeCell ref="B5:F5"/>
    <mergeCell ref="G5:R5"/>
    <mergeCell ref="B6:F6"/>
    <mergeCell ref="G6:R6"/>
    <mergeCell ref="B7:F7"/>
    <mergeCell ref="G7:R7"/>
    <mergeCell ref="B8:F8"/>
    <mergeCell ref="G8:R8"/>
    <mergeCell ref="B9:F9"/>
    <mergeCell ref="B10:F10"/>
    <mergeCell ref="B11:F11"/>
    <mergeCell ref="B12:F12"/>
    <mergeCell ref="B13:F13"/>
    <mergeCell ref="B14:F14"/>
    <mergeCell ref="D15:F15"/>
    <mergeCell ref="B16:F16"/>
    <mergeCell ref="B17:F17"/>
    <mergeCell ref="B18:F18"/>
    <mergeCell ref="A1:A3"/>
    <mergeCell ref="B1:R3"/>
    <mergeCell ref="G17:R18"/>
    <mergeCell ref="G9:R16"/>
  </mergeCells>
  <dataValidations count="11">
    <dataValidation allowBlank="1" showInputMessage="1" showErrorMessage="1" prompt="此处由公司系统产生，请不要填写" sqref="B8:F8 B14:F14"/>
    <dataValidation type="list" allowBlank="1" showInputMessage="1" showErrorMessage="1" prompt="默认是T，代表1.5ml离心管装，如果要分96孔板，请用P表示" sqref="B12:F12">
      <formula1>"干粉（稳定）,1*TE 100uM,1*TE 10uM,ddH2O 100uM,dd H2O 10uM"</formula1>
    </dataValidation>
    <dataValidation allowBlank="1" showInputMessage="1" showErrorMessage="1" prompt="此处，为公司代号，请不要修改" sqref="B13:F13"/>
    <dataValidation type="list" allowBlank="1" showInputMessage="1" showErrorMessage="1" sqref="B17:F17">
      <formula1>"专票,普票,电子专票,电子普票"</formula1>
    </dataValidation>
    <dataValidation allowBlank="1" showInputMessage="1" showErrorMessage="1" prompt="此处为公司自动生成的编号，请不要填写。" sqref="A30:A400"/>
    <dataValidation type="list" allowBlank="1" showInputMessage="1" showErrorMessage="1" sqref="E20:E400">
      <formula1>"HPLC,RNase Free HPLC"</formula1>
    </dataValidation>
    <dataValidation type="list" allowBlank="1" showInputMessage="1" showErrorMessage="1" sqref="F20:F400 H20:H400">
      <formula1>可合成修饰种类!$G$2:$G$52</formula1>
    </dataValidation>
    <dataValidation type="list" allowBlank="1" showInputMessage="1" showErrorMessage="1" sqref="G20:G400 I20:I400">
      <formula1>可合成修饰种类!$I$2:$I$45</formula1>
    </dataValidation>
    <dataValidation type="list" allowBlank="1" showInputMessage="1" showErrorMessage="1" sqref="M20:M400">
      <formula1>"BLG白色标签,BLG透明标签,无LOGO标签"</formula1>
    </dataValidation>
    <dataValidation type="list" allowBlank="1" showInputMessage="1" showErrorMessage="1" sqref="N20:N400">
      <formula1>"1.5ml可立管,1.5ml离心管,2ml离心管,5ml离心管,50ml离心管"</formula1>
    </dataValidation>
    <dataValidation type="list" allowBlank="1" showInputMessage="1" showErrorMessage="1" sqref="P20:P400">
      <formula1>"HPTP,MSTP,H+M,H+F,M+F,H+M+F,H+M+C,H+M+F+C,"</formula1>
    </dataValidation>
  </dataValidations>
  <hyperlinks>
    <hyperlink ref="G6" r:id="rId4" display="网址：www.bioligo.com"/>
    <hyperlink ref="G6:R6" r:id="rId4" display="网址：www.bioligo.com"/>
  </hyperlinks>
  <pageMargins left="0.75" right="0.75" top="1" bottom="1" header="0.5" footer="0.5"/>
  <pageSetup paperSize="9" orientation="portrait" horizontalDpi="300" verticalDpi="3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zoomScale="85" zoomScaleNormal="85" workbookViewId="0">
      <selection activeCell="C19" sqref="C19"/>
    </sheetView>
  </sheetViews>
  <sheetFormatPr defaultColWidth="9" defaultRowHeight="15"/>
  <cols>
    <col min="1" max="1" width="14.8" style="96" customWidth="1"/>
    <col min="2" max="2" width="14.2" customWidth="1"/>
    <col min="3" max="3" width="14.3" customWidth="1"/>
    <col min="4" max="4" width="15" customWidth="1"/>
    <col min="5" max="6" width="7.7" customWidth="1"/>
    <col min="7" max="7" width="14.8" customWidth="1"/>
    <col min="8" max="8" width="9.7" customWidth="1"/>
    <col min="9" max="9" width="14.3" customWidth="1"/>
    <col min="10" max="10" width="14.8" customWidth="1"/>
    <col min="11" max="11" width="13" customWidth="1"/>
  </cols>
  <sheetData>
    <row r="1" spans="1:13">
      <c r="A1" s="101"/>
      <c r="B1" s="102" t="s">
        <v>43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</row>
    <row r="4" ht="15.5" spans="1:13">
      <c r="A4" s="107" t="s">
        <v>1</v>
      </c>
      <c r="B4" s="108"/>
      <c r="C4" s="108"/>
      <c r="D4" s="108"/>
      <c r="E4" s="108"/>
      <c r="F4" s="108"/>
      <c r="G4" s="109" t="s">
        <v>2</v>
      </c>
      <c r="H4" s="110"/>
      <c r="I4" s="110"/>
      <c r="J4" s="110"/>
      <c r="K4" s="110"/>
      <c r="L4" s="110"/>
      <c r="M4" s="111"/>
    </row>
    <row r="5" spans="1:13">
      <c r="A5" s="112" t="s">
        <v>3</v>
      </c>
      <c r="B5" s="113"/>
      <c r="C5" s="113"/>
      <c r="D5" s="113"/>
      <c r="E5" s="114"/>
      <c r="F5" s="114"/>
      <c r="G5" s="115" t="s">
        <v>44</v>
      </c>
      <c r="H5" s="116"/>
      <c r="I5" s="116"/>
      <c r="J5" s="116"/>
      <c r="K5" s="116"/>
      <c r="L5" s="116"/>
      <c r="M5" s="117"/>
    </row>
    <row r="6" spans="1:13">
      <c r="A6" s="112" t="s">
        <v>5</v>
      </c>
      <c r="B6" s="118"/>
      <c r="C6" s="118"/>
      <c r="D6" s="118"/>
      <c r="E6" s="119"/>
      <c r="F6" s="119"/>
      <c r="G6" s="115" t="s">
        <v>6</v>
      </c>
      <c r="H6" s="116"/>
      <c r="I6" s="116"/>
      <c r="J6" s="116"/>
      <c r="K6" s="116"/>
      <c r="L6" s="116"/>
      <c r="M6" s="117"/>
    </row>
    <row r="7" spans="1:13">
      <c r="A7" s="112" t="s">
        <v>7</v>
      </c>
      <c r="B7" s="120"/>
      <c r="C7" s="120"/>
      <c r="D7" s="120"/>
      <c r="E7" s="121"/>
      <c r="F7" s="121"/>
      <c r="G7" s="122" t="s">
        <v>8</v>
      </c>
      <c r="H7" s="123"/>
      <c r="I7" s="123"/>
      <c r="J7" s="123"/>
      <c r="K7" s="123"/>
      <c r="L7" s="123"/>
      <c r="M7" s="124"/>
    </row>
    <row r="8" spans="1:13">
      <c r="A8" s="125" t="s">
        <v>9</v>
      </c>
      <c r="B8" s="10"/>
      <c r="C8" s="10"/>
      <c r="D8" s="10"/>
      <c r="E8" s="10"/>
      <c r="F8" s="10"/>
      <c r="G8" s="126" t="s">
        <v>11</v>
      </c>
      <c r="H8" s="127"/>
      <c r="I8" s="127"/>
      <c r="J8" s="127"/>
      <c r="K8" s="127"/>
      <c r="L8" s="127"/>
      <c r="M8" s="128"/>
    </row>
    <row r="9" spans="1:13">
      <c r="A9" s="112" t="s">
        <v>12</v>
      </c>
      <c r="B9" s="129"/>
      <c r="C9" s="129"/>
      <c r="D9" s="129"/>
      <c r="E9" s="129"/>
      <c r="F9" s="129"/>
      <c r="G9" s="130" t="s">
        <v>13</v>
      </c>
      <c r="H9" s="131"/>
      <c r="I9" s="131"/>
      <c r="J9" s="131"/>
      <c r="K9" s="131"/>
      <c r="L9" s="131"/>
      <c r="M9" s="132"/>
    </row>
    <row r="10" spans="1:13">
      <c r="A10" s="112" t="s">
        <v>14</v>
      </c>
      <c r="B10" s="133"/>
      <c r="C10" s="133"/>
      <c r="D10" s="133"/>
      <c r="E10" s="133"/>
      <c r="F10" s="133"/>
      <c r="G10" s="130"/>
      <c r="H10" s="131"/>
      <c r="I10" s="131"/>
      <c r="J10" s="131"/>
      <c r="K10" s="131"/>
      <c r="L10" s="131"/>
      <c r="M10" s="132"/>
    </row>
    <row r="11" spans="1:13">
      <c r="A11" s="112" t="s">
        <v>15</v>
      </c>
      <c r="B11" s="134"/>
      <c r="C11" s="135"/>
      <c r="D11" s="135"/>
      <c r="E11" s="135"/>
      <c r="F11" s="135"/>
      <c r="G11" s="130"/>
      <c r="H11" s="131"/>
      <c r="I11" s="131"/>
      <c r="J11" s="131"/>
      <c r="K11" s="131"/>
      <c r="L11" s="131"/>
      <c r="M11" s="132"/>
    </row>
    <row r="12" spans="1:13">
      <c r="A12" s="136" t="s">
        <v>16</v>
      </c>
      <c r="B12" s="12"/>
      <c r="C12" s="12"/>
      <c r="D12" s="12"/>
      <c r="E12" s="12"/>
      <c r="F12" s="12"/>
      <c r="G12" s="130"/>
      <c r="H12" s="131"/>
      <c r="I12" s="131"/>
      <c r="J12" s="131"/>
      <c r="K12" s="131"/>
      <c r="L12" s="131"/>
      <c r="M12" s="132"/>
    </row>
    <row r="13" spans="1:13">
      <c r="A13" s="136" t="s">
        <v>17</v>
      </c>
      <c r="B13" s="10"/>
      <c r="C13" s="10"/>
      <c r="D13" s="10"/>
      <c r="E13" s="10"/>
      <c r="F13" s="10"/>
      <c r="G13" s="130"/>
      <c r="H13" s="131"/>
      <c r="I13" s="131"/>
      <c r="J13" s="131"/>
      <c r="K13" s="131"/>
      <c r="L13" s="131"/>
      <c r="M13" s="132"/>
    </row>
    <row r="14" spans="1:13">
      <c r="A14" s="137" t="s">
        <v>18</v>
      </c>
      <c r="B14" s="138"/>
      <c r="C14" s="138"/>
      <c r="D14" s="138"/>
      <c r="E14" s="138"/>
      <c r="F14" s="138"/>
      <c r="G14" s="130"/>
      <c r="H14" s="131"/>
      <c r="I14" s="131"/>
      <c r="J14" s="131"/>
      <c r="K14" s="131"/>
      <c r="L14" s="131"/>
      <c r="M14" s="132"/>
    </row>
    <row r="15" spans="1:13">
      <c r="A15" s="139" t="s">
        <v>19</v>
      </c>
      <c r="B15" s="140"/>
      <c r="C15" s="141" t="s">
        <v>20</v>
      </c>
      <c r="D15" s="140"/>
      <c r="E15" s="140"/>
      <c r="F15" s="142"/>
      <c r="G15" s="130"/>
      <c r="H15" s="131"/>
      <c r="I15" s="131"/>
      <c r="J15" s="131"/>
      <c r="K15" s="131"/>
      <c r="L15" s="131"/>
      <c r="M15" s="132"/>
    </row>
    <row r="16" spans="1:13">
      <c r="A16" s="139" t="s">
        <v>21</v>
      </c>
      <c r="B16" s="140"/>
      <c r="C16" s="142"/>
      <c r="D16" s="142"/>
      <c r="E16" s="142"/>
      <c r="F16" s="142"/>
      <c r="G16" s="143"/>
      <c r="H16" s="144"/>
      <c r="I16" s="144"/>
      <c r="J16" s="144"/>
      <c r="K16" s="144"/>
      <c r="L16" s="144"/>
      <c r="M16" s="145"/>
    </row>
    <row r="17" spans="1:13">
      <c r="A17" s="146" t="s">
        <v>22</v>
      </c>
      <c r="B17" s="147"/>
      <c r="C17" s="148"/>
      <c r="D17" s="148"/>
      <c r="E17" s="148"/>
      <c r="F17" s="148"/>
      <c r="G17" s="149" t="s">
        <v>23</v>
      </c>
      <c r="H17" s="150"/>
      <c r="I17" s="150"/>
      <c r="J17" s="150"/>
      <c r="K17" s="150"/>
      <c r="L17" s="150"/>
      <c r="M17" s="151"/>
    </row>
    <row r="18" spans="1:13">
      <c r="A18" s="146" t="s">
        <v>24</v>
      </c>
      <c r="B18" s="152"/>
      <c r="C18" s="153"/>
      <c r="D18" s="153"/>
      <c r="E18" s="153"/>
      <c r="F18" s="153"/>
      <c r="G18" s="149"/>
      <c r="H18" s="150"/>
      <c r="I18" s="150"/>
      <c r="J18" s="150"/>
      <c r="K18" s="150"/>
      <c r="L18" s="150"/>
      <c r="M18" s="154"/>
    </row>
    <row r="19" s="40" customFormat="1" ht="22.8" customHeight="1" spans="1:13">
      <c r="A19" s="155" t="s">
        <v>45</v>
      </c>
      <c r="B19" s="156" t="s">
        <v>46</v>
      </c>
      <c r="C19" s="155" t="s">
        <v>47</v>
      </c>
      <c r="D19" s="156" t="s">
        <v>48</v>
      </c>
      <c r="E19" s="157" t="s">
        <v>49</v>
      </c>
      <c r="F19" s="157"/>
      <c r="G19" s="158" t="s">
        <v>50</v>
      </c>
      <c r="H19" s="158"/>
      <c r="I19" s="158"/>
      <c r="J19" s="157" t="s">
        <v>51</v>
      </c>
      <c r="K19" s="155" t="s">
        <v>52</v>
      </c>
      <c r="L19" s="155" t="s">
        <v>53</v>
      </c>
      <c r="M19" s="155" t="s">
        <v>54</v>
      </c>
    </row>
    <row r="20" spans="1:13">
      <c r="A20" s="159">
        <v>1</v>
      </c>
      <c r="B20" s="160"/>
      <c r="C20" s="161"/>
      <c r="D20" s="160"/>
      <c r="E20" s="159"/>
      <c r="F20" s="159"/>
      <c r="G20" s="159"/>
      <c r="H20" s="159"/>
      <c r="I20" s="159"/>
      <c r="J20" s="38"/>
      <c r="K20" s="38" t="e">
        <f>VLOOKUP(J20,套装说明!C:D,2,0)</f>
        <v>#N/A</v>
      </c>
      <c r="L20" s="38"/>
    </row>
    <row r="21" spans="1:13">
      <c r="A21" s="159">
        <v>2</v>
      </c>
      <c r="B21" s="160"/>
      <c r="C21" s="160"/>
      <c r="D21" s="160"/>
      <c r="E21" s="159"/>
      <c r="F21" s="159"/>
      <c r="G21" s="159"/>
      <c r="H21" s="159"/>
      <c r="I21" s="159"/>
      <c r="J21" s="38"/>
      <c r="K21" s="38" t="e">
        <f>VLOOKUP(J21,套装说明!C:D,2,0)</f>
        <v>#N/A</v>
      </c>
      <c r="L21" s="38"/>
      <c r="M21" s="38"/>
    </row>
    <row r="22" spans="1:13">
      <c r="A22" s="159">
        <v>3</v>
      </c>
      <c r="B22" s="160"/>
      <c r="C22" s="160"/>
      <c r="D22" s="160"/>
      <c r="E22" s="159"/>
      <c r="F22" s="159"/>
      <c r="G22" s="159"/>
      <c r="H22" s="159"/>
      <c r="I22" s="159"/>
      <c r="J22" s="38"/>
      <c r="K22" s="38" t="e">
        <f>VLOOKUP(J22,套装说明!C:D,2,0)</f>
        <v>#N/A</v>
      </c>
      <c r="L22" s="38"/>
      <c r="M22" s="162"/>
    </row>
    <row r="23" spans="1:13">
      <c r="A23" s="159">
        <v>4</v>
      </c>
      <c r="B23" s="38"/>
      <c r="C23" s="160"/>
      <c r="D23" s="160"/>
      <c r="E23" s="159"/>
      <c r="F23" s="159"/>
      <c r="G23" s="159"/>
      <c r="H23" s="159"/>
      <c r="I23" s="159"/>
      <c r="J23" s="38"/>
      <c r="K23" s="38" t="e">
        <f>VLOOKUP(J23,套装说明!C:D,2,0)</f>
        <v>#N/A</v>
      </c>
      <c r="L23" s="38"/>
      <c r="M23" s="38"/>
    </row>
    <row r="24" spans="1:13">
      <c r="A24" s="159">
        <v>5</v>
      </c>
      <c r="B24" s="160"/>
      <c r="C24" s="160"/>
      <c r="D24" s="160"/>
      <c r="E24" s="159"/>
      <c r="F24" s="159"/>
      <c r="G24" s="159"/>
      <c r="H24" s="159"/>
      <c r="I24" s="159"/>
      <c r="J24" s="38"/>
      <c r="K24" s="38" t="e">
        <f>VLOOKUP(J24,套装说明!C:D,2,0)</f>
        <v>#N/A</v>
      </c>
      <c r="L24" s="38"/>
      <c r="M24" s="38"/>
    </row>
    <row r="25" spans="1:13">
      <c r="A25" s="159">
        <v>6</v>
      </c>
      <c r="B25" s="160"/>
      <c r="C25" s="160"/>
      <c r="D25" s="160"/>
      <c r="E25" s="159"/>
      <c r="F25" s="159"/>
      <c r="G25" s="159"/>
      <c r="H25" s="159"/>
      <c r="I25" s="159"/>
      <c r="J25" s="38"/>
      <c r="K25" s="38" t="e">
        <f>VLOOKUP(J25,套装说明!C:D,2,0)</f>
        <v>#N/A</v>
      </c>
      <c r="L25" s="38"/>
      <c r="M25" s="38"/>
    </row>
    <row r="26" spans="1:13">
      <c r="A26" s="159">
        <v>7</v>
      </c>
      <c r="B26" s="160"/>
      <c r="C26" s="160"/>
      <c r="D26" s="160"/>
      <c r="E26" s="159"/>
      <c r="F26" s="159"/>
      <c r="G26" s="159"/>
      <c r="H26" s="159"/>
      <c r="I26" s="159"/>
      <c r="J26" s="38"/>
      <c r="K26" s="38" t="e">
        <f>VLOOKUP(J26,套装说明!C:D,2,0)</f>
        <v>#N/A</v>
      </c>
      <c r="L26" s="38"/>
      <c r="M26" s="38"/>
    </row>
    <row r="27" spans="1:13">
      <c r="A27" s="159">
        <v>8</v>
      </c>
      <c r="B27" s="38"/>
      <c r="C27" s="38"/>
      <c r="D27" s="38"/>
      <c r="E27" s="159"/>
      <c r="F27" s="159"/>
      <c r="G27" s="159"/>
      <c r="H27" s="159"/>
      <c r="I27" s="159"/>
      <c r="J27" s="38"/>
      <c r="K27" s="38" t="e">
        <f>VLOOKUP(J27,套装说明!C:D,2,0)</f>
        <v>#N/A</v>
      </c>
      <c r="L27" s="38"/>
      <c r="M27" s="38"/>
    </row>
    <row r="28" spans="1:13">
      <c r="A28" s="159">
        <v>9</v>
      </c>
      <c r="B28" s="38"/>
      <c r="C28" s="38"/>
      <c r="D28" s="38"/>
      <c r="E28" s="159"/>
      <c r="F28" s="159"/>
      <c r="G28" s="159"/>
      <c r="H28" s="159"/>
      <c r="I28" s="159"/>
      <c r="J28" s="38"/>
      <c r="K28" s="38" t="e">
        <f>VLOOKUP(J28,套装说明!C:D,2,0)</f>
        <v>#N/A</v>
      </c>
      <c r="L28" s="38"/>
      <c r="M28" s="38"/>
    </row>
    <row r="29" spans="1:13">
      <c r="A29" s="159">
        <v>10</v>
      </c>
      <c r="B29" s="38"/>
      <c r="C29" s="38"/>
      <c r="D29" s="38"/>
      <c r="E29" s="159"/>
      <c r="F29" s="159"/>
      <c r="G29" s="159"/>
      <c r="H29" s="159"/>
      <c r="I29" s="159"/>
      <c r="J29" s="38"/>
      <c r="K29" s="38" t="e">
        <f>VLOOKUP(J29,套装说明!C:D,2,0)</f>
        <v>#N/A</v>
      </c>
      <c r="L29" s="38"/>
      <c r="M29" s="38"/>
    </row>
    <row r="30" spans="1:13">
      <c r="A30" s="159">
        <v>11</v>
      </c>
      <c r="B30" s="38"/>
      <c r="C30" s="38"/>
      <c r="D30" s="38"/>
      <c r="E30" s="159"/>
      <c r="F30" s="159"/>
      <c r="G30" s="159"/>
      <c r="H30" s="159"/>
      <c r="I30" s="159"/>
      <c r="J30" s="38"/>
      <c r="K30" s="38" t="e">
        <f>VLOOKUP(J30,套装说明!C:D,2,0)</f>
        <v>#N/A</v>
      </c>
      <c r="L30" s="38"/>
      <c r="M30" s="38"/>
    </row>
    <row r="31" spans="1:13">
      <c r="A31" s="159">
        <v>12</v>
      </c>
      <c r="B31" s="38"/>
      <c r="C31" s="38"/>
      <c r="D31" s="38"/>
      <c r="E31" s="159"/>
      <c r="F31" s="159"/>
      <c r="G31" s="159"/>
      <c r="H31" s="159"/>
      <c r="I31" s="159"/>
      <c r="J31" s="38"/>
      <c r="K31" s="38" t="e">
        <f>VLOOKUP(J31,套装说明!C:D,2,0)</f>
        <v>#N/A</v>
      </c>
      <c r="L31" s="38"/>
      <c r="M31" s="38"/>
    </row>
    <row r="32" spans="1:13">
      <c r="A32" s="159">
        <v>13</v>
      </c>
      <c r="B32" s="38"/>
      <c r="C32" s="38"/>
      <c r="D32" s="38"/>
      <c r="E32" s="159"/>
      <c r="F32" s="159"/>
      <c r="G32" s="159"/>
      <c r="H32" s="159"/>
      <c r="I32" s="159"/>
      <c r="J32" s="38"/>
      <c r="K32" s="38" t="e">
        <f>VLOOKUP(J32,套装说明!C:D,2,0)</f>
        <v>#N/A</v>
      </c>
      <c r="L32" s="38"/>
      <c r="M32" s="38"/>
    </row>
    <row r="33" spans="1:13">
      <c r="A33" s="159">
        <v>14</v>
      </c>
      <c r="B33" s="38"/>
      <c r="C33" s="38"/>
      <c r="D33" s="38"/>
      <c r="E33" s="159"/>
      <c r="F33" s="159"/>
      <c r="G33" s="159"/>
      <c r="H33" s="159"/>
      <c r="I33" s="159"/>
      <c r="J33" s="38"/>
      <c r="K33" s="38" t="e">
        <f>VLOOKUP(J33,套装说明!C:D,2,0)</f>
        <v>#N/A</v>
      </c>
      <c r="L33" s="38"/>
      <c r="M33" s="38"/>
    </row>
    <row r="34" spans="1:13">
      <c r="A34" s="159">
        <v>15</v>
      </c>
      <c r="B34" s="38"/>
      <c r="C34" s="38"/>
      <c r="D34" s="38"/>
      <c r="E34" s="159"/>
      <c r="F34" s="159"/>
      <c r="G34" s="159"/>
      <c r="H34" s="159"/>
      <c r="I34" s="159"/>
      <c r="J34" s="38"/>
      <c r="K34" s="38" t="e">
        <f>VLOOKUP(J34,套装说明!C:D,2,0)</f>
        <v>#N/A</v>
      </c>
      <c r="L34" s="38"/>
      <c r="M34" s="38"/>
    </row>
    <row r="35" spans="1:13">
      <c r="A35" s="159">
        <v>16</v>
      </c>
      <c r="B35" s="38"/>
      <c r="C35" s="38"/>
      <c r="D35" s="38"/>
      <c r="E35" s="159"/>
      <c r="F35" s="159"/>
      <c r="G35" s="159"/>
      <c r="H35" s="159"/>
      <c r="I35" s="159"/>
      <c r="J35" s="38"/>
      <c r="K35" s="38" t="e">
        <f>VLOOKUP(J35,套装说明!C:D,2,0)</f>
        <v>#N/A</v>
      </c>
      <c r="L35" s="38"/>
      <c r="M35" s="38"/>
    </row>
    <row r="36" spans="1:13">
      <c r="A36" s="159">
        <v>17</v>
      </c>
      <c r="B36" s="38"/>
      <c r="C36" s="38"/>
      <c r="D36" s="38"/>
      <c r="E36" s="159"/>
      <c r="F36" s="159"/>
      <c r="G36" s="159"/>
      <c r="H36" s="159"/>
      <c r="I36" s="159"/>
      <c r="J36" s="38"/>
      <c r="K36" s="38" t="e">
        <f>VLOOKUP(J36,套装说明!C:D,2,0)</f>
        <v>#N/A</v>
      </c>
      <c r="L36" s="38"/>
      <c r="M36" s="38"/>
    </row>
    <row r="37" spans="1:13">
      <c r="A37" s="159">
        <v>18</v>
      </c>
      <c r="B37" s="38"/>
      <c r="C37" s="38"/>
      <c r="D37" s="38"/>
      <c r="E37" s="159"/>
      <c r="F37" s="159"/>
      <c r="G37" s="159"/>
      <c r="H37" s="159"/>
      <c r="I37" s="159"/>
      <c r="J37" s="38"/>
      <c r="K37" s="38" t="e">
        <f>VLOOKUP(J37,套装说明!C:D,2,0)</f>
        <v>#N/A</v>
      </c>
      <c r="L37" s="38"/>
      <c r="M37" s="38"/>
    </row>
    <row r="38" spans="1:13">
      <c r="A38" s="159">
        <v>19</v>
      </c>
      <c r="B38" s="38"/>
      <c r="C38" s="38"/>
      <c r="D38" s="38"/>
      <c r="E38" s="159"/>
      <c r="F38" s="159"/>
      <c r="G38" s="159"/>
      <c r="H38" s="159"/>
      <c r="I38" s="159"/>
      <c r="J38" s="38"/>
      <c r="K38" s="38" t="e">
        <f>VLOOKUP(J38,套装说明!C:D,2,0)</f>
        <v>#N/A</v>
      </c>
      <c r="L38" s="38"/>
      <c r="M38" s="38"/>
    </row>
    <row r="39" spans="1:13">
      <c r="A39" s="159">
        <v>20</v>
      </c>
      <c r="B39" s="38"/>
      <c r="C39" s="38"/>
      <c r="D39" s="38"/>
      <c r="E39" s="159"/>
      <c r="F39" s="159"/>
      <c r="G39" s="159"/>
      <c r="H39" s="159"/>
      <c r="I39" s="159"/>
      <c r="J39" s="38"/>
      <c r="K39" s="38" t="e">
        <f>VLOOKUP(J39,套装说明!C:D,2,0)</f>
        <v>#N/A</v>
      </c>
      <c r="L39" s="38"/>
      <c r="M39" s="38"/>
    </row>
  </sheetData>
  <protectedRanges>
    <protectedRange sqref="M22" name="区域2"/>
  </protectedRanges>
  <mergeCells count="66">
    <mergeCell ref="B4:F4"/>
    <mergeCell ref="G4:M4"/>
    <mergeCell ref="B5:F5"/>
    <mergeCell ref="G5:M5"/>
    <mergeCell ref="B6:F6"/>
    <mergeCell ref="G6:M6"/>
    <mergeCell ref="B7:F7"/>
    <mergeCell ref="G7:M7"/>
    <mergeCell ref="B8:F8"/>
    <mergeCell ref="G8:M8"/>
    <mergeCell ref="B9:F9"/>
    <mergeCell ref="B10:F10"/>
    <mergeCell ref="B11:F11"/>
    <mergeCell ref="B12:F12"/>
    <mergeCell ref="B13:F13"/>
    <mergeCell ref="B14:F14"/>
    <mergeCell ref="D15:F15"/>
    <mergeCell ref="B16:F16"/>
    <mergeCell ref="B17:F17"/>
    <mergeCell ref="B18:F18"/>
    <mergeCell ref="E19:F19"/>
    <mergeCell ref="G19:I19"/>
    <mergeCell ref="E20:F20"/>
    <mergeCell ref="G20:I20"/>
    <mergeCell ref="E21:F21"/>
    <mergeCell ref="G21:I21"/>
    <mergeCell ref="E22:F22"/>
    <mergeCell ref="G22:I22"/>
    <mergeCell ref="E23:F23"/>
    <mergeCell ref="G23:I23"/>
    <mergeCell ref="E24:F24"/>
    <mergeCell ref="G24:I24"/>
    <mergeCell ref="E25:F25"/>
    <mergeCell ref="G25:I25"/>
    <mergeCell ref="E26:F26"/>
    <mergeCell ref="G26:I26"/>
    <mergeCell ref="E27:F27"/>
    <mergeCell ref="G27:I27"/>
    <mergeCell ref="E28:F28"/>
    <mergeCell ref="G28:I28"/>
    <mergeCell ref="E29:F29"/>
    <mergeCell ref="G29:I29"/>
    <mergeCell ref="E30:F30"/>
    <mergeCell ref="G30:I30"/>
    <mergeCell ref="E31:F31"/>
    <mergeCell ref="G31:I31"/>
    <mergeCell ref="E32:F32"/>
    <mergeCell ref="G32:I32"/>
    <mergeCell ref="E33:F33"/>
    <mergeCell ref="G33:I33"/>
    <mergeCell ref="E34:F34"/>
    <mergeCell ref="G34:I34"/>
    <mergeCell ref="E35:F35"/>
    <mergeCell ref="G35:I35"/>
    <mergeCell ref="E36:F36"/>
    <mergeCell ref="G36:I36"/>
    <mergeCell ref="E37:F37"/>
    <mergeCell ref="G37:I37"/>
    <mergeCell ref="E38:F38"/>
    <mergeCell ref="G38:I38"/>
    <mergeCell ref="E39:F39"/>
    <mergeCell ref="G39:I39"/>
    <mergeCell ref="A1:A3"/>
    <mergeCell ref="B1:M3"/>
    <mergeCell ref="G9:M16"/>
    <mergeCell ref="G17:M18"/>
  </mergeCells>
  <dataValidations count="6">
    <dataValidation allowBlank="1" showInputMessage="1" showErrorMessage="1" prompt="此处由公司系统产生，请不要填写" sqref="B8:F8 B13:F14"/>
    <dataValidation allowBlank="1" showInputMessage="1" showErrorMessage="1" prompt="默认是T，代表1.5ml离心管装，如果要分96孔板，请用P表示" sqref="B11:F11"/>
    <dataValidation type="list" allowBlank="1" showInputMessage="1" showErrorMessage="1" prompt="此处，为公司代号，请不要修改" sqref="B12:F12">
      <formula1>"干粉（稳定）,1*TE 100uM,1*TE 10uM,ddH2O 100uM,dd H2O 10uM"</formula1>
    </dataValidation>
    <dataValidation type="list" allowBlank="1" showInputMessage="1" showErrorMessage="1" sqref="B17:F17">
      <formula1>"专票,普票,电子专票,电子普票"</formula1>
    </dataValidation>
    <dataValidation type="list" allowBlank="1" showInputMessage="1" showErrorMessage="1" sqref="G20:I39">
      <formula1>INDIRECT($E20)</formula1>
    </dataValidation>
    <dataValidation type="list" allowBlank="1" showInputMessage="1" showErrorMessage="1" sqref="E20:F39">
      <formula1>引用数据!$A$1:$H$1</formula1>
    </dataValidation>
  </dataValidations>
  <hyperlinks>
    <hyperlink ref="G6" r:id="rId2" display="网址：www.bioligo.com"/>
    <hyperlink ref="G6:L6" r:id="rId2" display="网址：www.bioligo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"/>
  <sheetViews>
    <sheetView workbookViewId="0">
      <pane ySplit="1" topLeftCell="A113" activePane="bottomLeft" state="frozen"/>
      <selection/>
      <selection pane="bottomLeft" activeCell="D123" sqref="D123"/>
    </sheetView>
  </sheetViews>
  <sheetFormatPr defaultColWidth="9" defaultRowHeight="15"/>
  <cols>
    <col min="1" max="1" width="16.9" style="69" customWidth="1"/>
    <col min="2" max="2" width="32.1" style="69" customWidth="1"/>
    <col min="3" max="3" width="16.3" style="69" customWidth="1"/>
    <col min="4" max="4" width="35.4" style="69" customWidth="1"/>
    <col min="5" max="5" width="13.8" style="70" customWidth="1"/>
    <col min="6" max="6" width="38.8" style="69" customWidth="1"/>
  </cols>
  <sheetData>
    <row r="1" spans="1:6">
      <c r="A1" s="71" t="s">
        <v>55</v>
      </c>
      <c r="B1" s="71" t="s">
        <v>50</v>
      </c>
      <c r="C1" s="71" t="s">
        <v>51</v>
      </c>
      <c r="D1" s="72" t="s">
        <v>52</v>
      </c>
      <c r="E1" s="73" t="s">
        <v>56</v>
      </c>
      <c r="F1" s="72" t="s">
        <v>57</v>
      </c>
    </row>
    <row r="2" spans="1:6">
      <c r="A2" s="74" t="s">
        <v>58</v>
      </c>
      <c r="B2" s="75" t="s">
        <v>59</v>
      </c>
      <c r="C2" s="76" t="s">
        <v>60</v>
      </c>
      <c r="D2" s="62" t="s">
        <v>61</v>
      </c>
      <c r="E2" s="77">
        <v>398</v>
      </c>
      <c r="F2" s="62" t="s">
        <v>62</v>
      </c>
    </row>
    <row r="3" spans="1:6">
      <c r="A3" s="78"/>
      <c r="B3" s="79"/>
      <c r="C3" s="76" t="s">
        <v>63</v>
      </c>
      <c r="D3" s="62" t="s">
        <v>64</v>
      </c>
      <c r="E3" s="77">
        <v>498</v>
      </c>
      <c r="F3" s="62" t="s">
        <v>62</v>
      </c>
    </row>
    <row r="4" spans="1:6">
      <c r="A4" s="78"/>
      <c r="B4" s="79"/>
      <c r="C4" s="76" t="s">
        <v>65</v>
      </c>
      <c r="D4" s="62" t="s">
        <v>66</v>
      </c>
      <c r="E4" s="77">
        <v>698</v>
      </c>
      <c r="F4" s="62" t="s">
        <v>62</v>
      </c>
    </row>
    <row r="5" spans="1:6">
      <c r="A5" s="78"/>
      <c r="B5" s="79"/>
      <c r="C5" s="76" t="s">
        <v>67</v>
      </c>
      <c r="D5" s="62" t="s">
        <v>68</v>
      </c>
      <c r="E5" s="77">
        <v>3988</v>
      </c>
      <c r="F5" s="62" t="s">
        <v>62</v>
      </c>
    </row>
    <row r="6" spans="1:6">
      <c r="A6" s="78"/>
      <c r="B6" s="79"/>
      <c r="C6" s="76" t="s">
        <v>69</v>
      </c>
      <c r="D6" s="62" t="s">
        <v>70</v>
      </c>
      <c r="E6" s="77" t="s">
        <v>71</v>
      </c>
      <c r="F6" s="62" t="s">
        <v>62</v>
      </c>
    </row>
    <row r="7" spans="1:6">
      <c r="A7" s="78"/>
      <c r="B7" s="79"/>
      <c r="C7" s="76" t="s">
        <v>72</v>
      </c>
      <c r="D7" s="62" t="s">
        <v>73</v>
      </c>
      <c r="E7" s="77" t="s">
        <v>71</v>
      </c>
      <c r="F7" s="62" t="s">
        <v>62</v>
      </c>
    </row>
    <row r="8" spans="1:6">
      <c r="A8" s="78"/>
      <c r="B8" s="79"/>
      <c r="C8" s="76" t="s">
        <v>74</v>
      </c>
      <c r="D8" s="62" t="s">
        <v>75</v>
      </c>
      <c r="E8" s="77" t="s">
        <v>71</v>
      </c>
      <c r="F8" s="62" t="s">
        <v>62</v>
      </c>
    </row>
    <row r="9" spans="1:6">
      <c r="A9" s="78"/>
      <c r="B9" s="79"/>
      <c r="C9" s="76" t="s">
        <v>76</v>
      </c>
      <c r="D9" s="62" t="s">
        <v>77</v>
      </c>
      <c r="E9" s="77" t="s">
        <v>71</v>
      </c>
      <c r="F9" s="62" t="s">
        <v>62</v>
      </c>
    </row>
    <row r="10" spans="1:6">
      <c r="A10" s="78"/>
      <c r="B10" s="79"/>
      <c r="C10" s="76" t="s">
        <v>78</v>
      </c>
      <c r="D10" s="62" t="s">
        <v>79</v>
      </c>
      <c r="E10" s="77" t="s">
        <v>71</v>
      </c>
      <c r="F10" s="62" t="s">
        <v>62</v>
      </c>
    </row>
    <row r="11" spans="1:6">
      <c r="A11" s="78"/>
      <c r="B11" s="79"/>
      <c r="C11" s="76" t="s">
        <v>80</v>
      </c>
      <c r="D11" s="62" t="s">
        <v>81</v>
      </c>
      <c r="E11" s="77" t="s">
        <v>71</v>
      </c>
      <c r="F11" s="62" t="s">
        <v>62</v>
      </c>
    </row>
    <row r="12" spans="1:6">
      <c r="A12" s="78"/>
      <c r="B12" s="80"/>
      <c r="C12" s="76" t="s">
        <v>82</v>
      </c>
      <c r="D12" s="62" t="s">
        <v>83</v>
      </c>
      <c r="E12" s="77" t="s">
        <v>71</v>
      </c>
      <c r="F12" s="62" t="s">
        <v>62</v>
      </c>
    </row>
    <row r="13" ht="15.6" customHeight="1" spans="1:6">
      <c r="A13" s="78"/>
      <c r="B13" s="75" t="s">
        <v>84</v>
      </c>
      <c r="C13" s="76" t="s">
        <v>85</v>
      </c>
      <c r="D13" s="62" t="s">
        <v>61</v>
      </c>
      <c r="E13" s="77">
        <v>958</v>
      </c>
      <c r="F13" s="62" t="s">
        <v>62</v>
      </c>
    </row>
    <row r="14" spans="1:6">
      <c r="A14" s="78"/>
      <c r="B14" s="79"/>
      <c r="C14" s="76" t="s">
        <v>86</v>
      </c>
      <c r="D14" s="62" t="s">
        <v>64</v>
      </c>
      <c r="E14" s="77">
        <v>1258</v>
      </c>
      <c r="F14" s="62" t="s">
        <v>62</v>
      </c>
    </row>
    <row r="15" spans="1:6">
      <c r="A15" s="78"/>
      <c r="B15" s="79"/>
      <c r="C15" s="76" t="s">
        <v>87</v>
      </c>
      <c r="D15" s="62" t="s">
        <v>66</v>
      </c>
      <c r="E15" s="77">
        <v>1958</v>
      </c>
      <c r="F15" s="62" t="s">
        <v>62</v>
      </c>
    </row>
    <row r="16" spans="1:6">
      <c r="A16" s="78"/>
      <c r="B16" s="79"/>
      <c r="C16" s="76" t="s">
        <v>88</v>
      </c>
      <c r="D16" s="62" t="s">
        <v>68</v>
      </c>
      <c r="E16" s="77">
        <v>9958</v>
      </c>
      <c r="F16" s="62" t="s">
        <v>62</v>
      </c>
    </row>
    <row r="17" spans="1:6">
      <c r="A17" s="78"/>
      <c r="B17" s="79"/>
      <c r="C17" s="76" t="s">
        <v>89</v>
      </c>
      <c r="D17" s="62" t="s">
        <v>70</v>
      </c>
      <c r="E17" s="77" t="s">
        <v>71</v>
      </c>
      <c r="F17" s="62" t="s">
        <v>62</v>
      </c>
    </row>
    <row r="18" spans="1:6">
      <c r="A18" s="78"/>
      <c r="B18" s="79"/>
      <c r="C18" s="76" t="s">
        <v>90</v>
      </c>
      <c r="D18" s="62" t="s">
        <v>73</v>
      </c>
      <c r="E18" s="77" t="s">
        <v>71</v>
      </c>
      <c r="F18" s="62" t="s">
        <v>62</v>
      </c>
    </row>
    <row r="19" spans="1:6">
      <c r="A19" s="78"/>
      <c r="B19" s="79"/>
      <c r="C19" s="76" t="s">
        <v>91</v>
      </c>
      <c r="D19" s="62" t="s">
        <v>75</v>
      </c>
      <c r="E19" s="77" t="s">
        <v>71</v>
      </c>
      <c r="F19" s="62" t="s">
        <v>62</v>
      </c>
    </row>
    <row r="20" spans="1:6">
      <c r="A20" s="78"/>
      <c r="B20" s="79"/>
      <c r="C20" s="76" t="s">
        <v>92</v>
      </c>
      <c r="D20" s="62" t="s">
        <v>77</v>
      </c>
      <c r="E20" s="77" t="s">
        <v>71</v>
      </c>
      <c r="F20" s="62" t="s">
        <v>62</v>
      </c>
    </row>
    <row r="21" spans="1:6">
      <c r="A21" s="78"/>
      <c r="B21" s="79"/>
      <c r="C21" s="76" t="s">
        <v>93</v>
      </c>
      <c r="D21" s="62" t="s">
        <v>79</v>
      </c>
      <c r="E21" s="77" t="s">
        <v>71</v>
      </c>
      <c r="F21" s="62" t="s">
        <v>62</v>
      </c>
    </row>
    <row r="22" spans="1:6">
      <c r="A22" s="78"/>
      <c r="B22" s="79"/>
      <c r="C22" s="76" t="s">
        <v>94</v>
      </c>
      <c r="D22" s="62" t="s">
        <v>81</v>
      </c>
      <c r="E22" s="77" t="s">
        <v>71</v>
      </c>
      <c r="F22" s="62" t="s">
        <v>62</v>
      </c>
    </row>
    <row r="23" spans="1:6">
      <c r="A23" s="78"/>
      <c r="B23" s="80"/>
      <c r="C23" s="76" t="s">
        <v>95</v>
      </c>
      <c r="D23" s="62" t="s">
        <v>83</v>
      </c>
      <c r="E23" s="77" t="s">
        <v>71</v>
      </c>
      <c r="F23" s="62" t="s">
        <v>62</v>
      </c>
    </row>
    <row r="24" ht="30" spans="1:6">
      <c r="A24" s="78"/>
      <c r="B24" s="76" t="s">
        <v>96</v>
      </c>
      <c r="C24" s="76" t="s">
        <v>97</v>
      </c>
      <c r="D24" s="62" t="s">
        <v>98</v>
      </c>
      <c r="E24" s="77">
        <v>1868</v>
      </c>
      <c r="F24" s="62" t="s">
        <v>99</v>
      </c>
    </row>
    <row r="25" ht="30" spans="1:6">
      <c r="A25" s="78"/>
      <c r="B25" s="76" t="s">
        <v>100</v>
      </c>
      <c r="C25" s="76" t="s">
        <v>101</v>
      </c>
      <c r="D25" s="62" t="s">
        <v>102</v>
      </c>
      <c r="E25" s="77">
        <v>2668</v>
      </c>
      <c r="F25" s="62" t="s">
        <v>99</v>
      </c>
    </row>
    <row r="26" ht="30" spans="1:6">
      <c r="A26" s="78"/>
      <c r="B26" s="76" t="s">
        <v>103</v>
      </c>
      <c r="C26" s="76" t="s">
        <v>104</v>
      </c>
      <c r="D26" s="62" t="s">
        <v>98</v>
      </c>
      <c r="E26" s="77">
        <v>2568</v>
      </c>
      <c r="F26" s="62" t="s">
        <v>105</v>
      </c>
    </row>
    <row r="27" ht="30" spans="1:6">
      <c r="A27" s="78"/>
      <c r="B27" s="76" t="s">
        <v>106</v>
      </c>
      <c r="C27" s="76" t="s">
        <v>107</v>
      </c>
      <c r="D27" s="62" t="s">
        <v>102</v>
      </c>
      <c r="E27" s="77">
        <v>3368</v>
      </c>
      <c r="F27" s="62" t="s">
        <v>105</v>
      </c>
    </row>
    <row r="28" ht="30" spans="1:6">
      <c r="A28" s="78"/>
      <c r="B28" s="76" t="s">
        <v>108</v>
      </c>
      <c r="C28" s="76" t="s">
        <v>109</v>
      </c>
      <c r="D28" s="62" t="s">
        <v>98</v>
      </c>
      <c r="E28" s="77">
        <v>3996</v>
      </c>
      <c r="F28" s="62" t="s">
        <v>99</v>
      </c>
    </row>
    <row r="29" ht="30" spans="1:6">
      <c r="A29" s="78"/>
      <c r="B29" s="76" t="s">
        <v>110</v>
      </c>
      <c r="C29" s="76" t="s">
        <v>111</v>
      </c>
      <c r="D29" s="62" t="s">
        <v>102</v>
      </c>
      <c r="E29" s="77">
        <v>5996</v>
      </c>
      <c r="F29" s="62" t="s">
        <v>112</v>
      </c>
    </row>
    <row r="30" ht="30" spans="1:6">
      <c r="A30" s="78"/>
      <c r="B30" s="76" t="s">
        <v>113</v>
      </c>
      <c r="C30" s="76" t="s">
        <v>114</v>
      </c>
      <c r="D30" s="62" t="s">
        <v>98</v>
      </c>
      <c r="E30" s="77">
        <v>4796</v>
      </c>
      <c r="F30" s="62" t="s">
        <v>105</v>
      </c>
    </row>
    <row r="31" ht="30" spans="1:6">
      <c r="A31" s="81"/>
      <c r="B31" s="76" t="s">
        <v>115</v>
      </c>
      <c r="C31" s="76" t="s">
        <v>116</v>
      </c>
      <c r="D31" s="62" t="s">
        <v>102</v>
      </c>
      <c r="E31" s="77">
        <v>6796</v>
      </c>
      <c r="F31" s="62" t="s">
        <v>117</v>
      </c>
    </row>
    <row r="32" spans="1:6">
      <c r="A32" s="75" t="s">
        <v>118</v>
      </c>
      <c r="B32" s="82" t="s">
        <v>119</v>
      </c>
      <c r="C32" s="76" t="s">
        <v>120</v>
      </c>
      <c r="D32" s="62" t="s">
        <v>64</v>
      </c>
      <c r="E32" s="83">
        <v>398</v>
      </c>
      <c r="F32" s="62"/>
    </row>
    <row r="33" spans="1:6">
      <c r="A33" s="79"/>
      <c r="B33" s="84" t="s">
        <v>121</v>
      </c>
      <c r="C33" s="76" t="s">
        <v>122</v>
      </c>
      <c r="D33" s="62" t="s">
        <v>64</v>
      </c>
      <c r="E33" s="83">
        <v>698</v>
      </c>
      <c r="F33" s="62"/>
    </row>
    <row r="34" spans="1:6">
      <c r="A34" s="79"/>
      <c r="B34" s="84" t="s">
        <v>123</v>
      </c>
      <c r="C34" s="76" t="s">
        <v>124</v>
      </c>
      <c r="D34" s="62" t="s">
        <v>64</v>
      </c>
      <c r="E34" s="83">
        <v>1518</v>
      </c>
      <c r="F34" s="62"/>
    </row>
    <row r="35" ht="28" spans="1:6">
      <c r="A35" s="79"/>
      <c r="B35" s="84" t="s">
        <v>125</v>
      </c>
      <c r="C35" s="76" t="s">
        <v>126</v>
      </c>
      <c r="D35" s="62" t="s">
        <v>64</v>
      </c>
      <c r="E35" s="83">
        <v>2518</v>
      </c>
      <c r="F35" s="62"/>
    </row>
    <row r="36" spans="1:6">
      <c r="A36" s="79"/>
      <c r="B36" s="84" t="s">
        <v>127</v>
      </c>
      <c r="C36" s="76" t="s">
        <v>128</v>
      </c>
      <c r="D36" s="62" t="s">
        <v>64</v>
      </c>
      <c r="E36" s="83">
        <v>498</v>
      </c>
      <c r="F36" s="62"/>
    </row>
    <row r="37" spans="1:6">
      <c r="A37" s="79"/>
      <c r="B37" s="84" t="s">
        <v>129</v>
      </c>
      <c r="C37" s="76" t="s">
        <v>130</v>
      </c>
      <c r="D37" s="62" t="s">
        <v>64</v>
      </c>
      <c r="E37" s="83">
        <v>798</v>
      </c>
      <c r="F37" s="62"/>
    </row>
    <row r="38" spans="1:6">
      <c r="A38" s="79"/>
      <c r="B38" s="84" t="s">
        <v>131</v>
      </c>
      <c r="C38" s="76" t="s">
        <v>132</v>
      </c>
      <c r="D38" s="62" t="s">
        <v>64</v>
      </c>
      <c r="E38" s="83">
        <v>1618</v>
      </c>
      <c r="F38" s="62"/>
    </row>
    <row r="39" ht="28" spans="1:6">
      <c r="A39" s="80"/>
      <c r="B39" s="84" t="s">
        <v>133</v>
      </c>
      <c r="C39" s="76" t="s">
        <v>134</v>
      </c>
      <c r="D39" s="62" t="s">
        <v>64</v>
      </c>
      <c r="E39" s="83">
        <v>2618</v>
      </c>
      <c r="F39" s="62"/>
    </row>
    <row r="40" spans="1:6">
      <c r="A40" s="75" t="s">
        <v>135</v>
      </c>
      <c r="B40" s="76" t="s">
        <v>136</v>
      </c>
      <c r="C40" s="76" t="s">
        <v>137</v>
      </c>
      <c r="D40" s="62" t="s">
        <v>138</v>
      </c>
      <c r="E40" s="85" t="s">
        <v>71</v>
      </c>
      <c r="F40" s="86"/>
    </row>
    <row r="41" ht="30" spans="1:6">
      <c r="A41" s="79"/>
      <c r="B41" s="76" t="s">
        <v>139</v>
      </c>
      <c r="C41" s="76" t="s">
        <v>140</v>
      </c>
      <c r="D41" s="62" t="s">
        <v>141</v>
      </c>
      <c r="E41" s="77" t="s">
        <v>71</v>
      </c>
      <c r="F41" s="86"/>
    </row>
    <row r="42" ht="30" spans="1:6">
      <c r="A42" s="79"/>
      <c r="B42" s="76" t="s">
        <v>142</v>
      </c>
      <c r="C42" s="76" t="s">
        <v>143</v>
      </c>
      <c r="D42" s="62" t="s">
        <v>144</v>
      </c>
      <c r="E42" s="77" t="s">
        <v>71</v>
      </c>
      <c r="F42" s="86"/>
    </row>
    <row r="43" ht="30" spans="1:6">
      <c r="A43" s="79"/>
      <c r="B43" s="76" t="s">
        <v>145</v>
      </c>
      <c r="C43" s="76" t="s">
        <v>146</v>
      </c>
      <c r="D43" s="62" t="s">
        <v>147</v>
      </c>
      <c r="E43" s="77" t="s">
        <v>71</v>
      </c>
      <c r="F43" s="86"/>
    </row>
    <row r="44" ht="30" spans="1:6">
      <c r="A44" s="79"/>
      <c r="B44" s="76" t="s">
        <v>148</v>
      </c>
      <c r="C44" s="76" t="s">
        <v>149</v>
      </c>
      <c r="D44" s="62" t="s">
        <v>150</v>
      </c>
      <c r="E44" s="77" t="s">
        <v>71</v>
      </c>
      <c r="F44" s="86"/>
    </row>
    <row r="45" ht="30" spans="1:6">
      <c r="A45" s="79"/>
      <c r="B45" s="76" t="s">
        <v>151</v>
      </c>
      <c r="C45" s="76" t="s">
        <v>152</v>
      </c>
      <c r="D45" s="62" t="s">
        <v>153</v>
      </c>
      <c r="E45" s="77" t="s">
        <v>71</v>
      </c>
      <c r="F45" s="86"/>
    </row>
    <row r="46" ht="30" spans="1:6">
      <c r="A46" s="79"/>
      <c r="B46" s="76" t="s">
        <v>154</v>
      </c>
      <c r="C46" s="76" t="s">
        <v>155</v>
      </c>
      <c r="D46" s="62" t="s">
        <v>156</v>
      </c>
      <c r="E46" s="77" t="s">
        <v>71</v>
      </c>
      <c r="F46" s="86"/>
    </row>
    <row r="47" ht="30" spans="1:6">
      <c r="A47" s="79"/>
      <c r="B47" s="76" t="s">
        <v>157</v>
      </c>
      <c r="C47" s="76" t="s">
        <v>158</v>
      </c>
      <c r="D47" s="62" t="s">
        <v>159</v>
      </c>
      <c r="E47" s="77" t="s">
        <v>71</v>
      </c>
      <c r="F47" s="86"/>
    </row>
    <row r="48" ht="30" spans="1:6">
      <c r="A48" s="79"/>
      <c r="B48" s="76" t="s">
        <v>160</v>
      </c>
      <c r="C48" s="76" t="s">
        <v>161</v>
      </c>
      <c r="D48" s="62" t="s">
        <v>162</v>
      </c>
      <c r="E48" s="77" t="s">
        <v>71</v>
      </c>
      <c r="F48" s="86"/>
    </row>
    <row r="49" spans="1:6">
      <c r="A49" s="79"/>
      <c r="B49" s="76" t="s">
        <v>163</v>
      </c>
      <c r="C49" s="76" t="s">
        <v>164</v>
      </c>
      <c r="D49" s="62" t="s">
        <v>165</v>
      </c>
      <c r="E49" s="77" t="s">
        <v>71</v>
      </c>
      <c r="F49" s="86"/>
    </row>
    <row r="50" spans="1:6">
      <c r="A50" s="79"/>
      <c r="B50" s="76" t="s">
        <v>166</v>
      </c>
      <c r="C50" s="76" t="s">
        <v>167</v>
      </c>
      <c r="D50" s="62" t="s">
        <v>168</v>
      </c>
      <c r="E50" s="77" t="s">
        <v>71</v>
      </c>
      <c r="F50" s="86"/>
    </row>
    <row r="51" ht="30" spans="1:6">
      <c r="A51" s="80"/>
      <c r="B51" s="76" t="s">
        <v>169</v>
      </c>
      <c r="C51" s="76" t="s">
        <v>170</v>
      </c>
      <c r="D51" s="62" t="s">
        <v>171</v>
      </c>
      <c r="E51" s="77" t="s">
        <v>71</v>
      </c>
      <c r="F51" s="86"/>
    </row>
    <row r="52" spans="1:6">
      <c r="A52" s="75" t="s">
        <v>172</v>
      </c>
      <c r="B52" s="76" t="s">
        <v>173</v>
      </c>
      <c r="C52" s="76" t="s">
        <v>174</v>
      </c>
      <c r="D52" s="62" t="s">
        <v>175</v>
      </c>
      <c r="E52" s="77" t="s">
        <v>176</v>
      </c>
      <c r="F52" s="86"/>
    </row>
    <row r="53" spans="1:6">
      <c r="A53" s="80"/>
      <c r="B53" s="76" t="s">
        <v>177</v>
      </c>
      <c r="C53" s="76" t="s">
        <v>178</v>
      </c>
      <c r="D53" s="62" t="s">
        <v>179</v>
      </c>
      <c r="E53" s="77" t="s">
        <v>180</v>
      </c>
      <c r="F53" s="86"/>
    </row>
    <row r="54" spans="1:6">
      <c r="A54" s="87" t="s">
        <v>181</v>
      </c>
      <c r="B54" s="75" t="s">
        <v>182</v>
      </c>
      <c r="C54" s="76" t="s">
        <v>183</v>
      </c>
      <c r="D54" s="62" t="s">
        <v>61</v>
      </c>
      <c r="E54" s="77">
        <v>398</v>
      </c>
      <c r="F54" s="66"/>
    </row>
    <row r="55" spans="1:6">
      <c r="A55" s="88"/>
      <c r="B55" s="79"/>
      <c r="C55" s="76" t="s">
        <v>184</v>
      </c>
      <c r="D55" s="62" t="s">
        <v>64</v>
      </c>
      <c r="E55" s="77">
        <v>498</v>
      </c>
      <c r="F55" s="66"/>
    </row>
    <row r="56" spans="1:6">
      <c r="A56" s="88"/>
      <c r="B56" s="79"/>
      <c r="C56" s="76" t="s">
        <v>185</v>
      </c>
      <c r="D56" s="62" t="s">
        <v>66</v>
      </c>
      <c r="E56" s="77">
        <v>698</v>
      </c>
      <c r="F56" s="66"/>
    </row>
    <row r="57" spans="1:6">
      <c r="A57" s="88"/>
      <c r="B57" s="79"/>
      <c r="C57" s="76" t="s">
        <v>186</v>
      </c>
      <c r="D57" s="62" t="s">
        <v>68</v>
      </c>
      <c r="E57" s="77">
        <v>3988</v>
      </c>
      <c r="F57" s="66"/>
    </row>
    <row r="58" spans="1:6">
      <c r="A58" s="88"/>
      <c r="B58" s="79"/>
      <c r="C58" s="76" t="s">
        <v>187</v>
      </c>
      <c r="D58" s="62" t="s">
        <v>70</v>
      </c>
      <c r="E58" s="77" t="s">
        <v>188</v>
      </c>
      <c r="F58" s="66"/>
    </row>
    <row r="59" spans="1:6">
      <c r="A59" s="88"/>
      <c r="B59" s="79"/>
      <c r="C59" s="76" t="s">
        <v>189</v>
      </c>
      <c r="D59" s="62" t="s">
        <v>73</v>
      </c>
      <c r="E59" s="77" t="s">
        <v>190</v>
      </c>
      <c r="F59" s="66"/>
    </row>
    <row r="60" spans="1:6">
      <c r="A60" s="88"/>
      <c r="B60" s="79"/>
      <c r="C60" s="76" t="s">
        <v>191</v>
      </c>
      <c r="D60" s="62" t="s">
        <v>75</v>
      </c>
      <c r="E60" s="77" t="s">
        <v>71</v>
      </c>
      <c r="F60" s="66"/>
    </row>
    <row r="61" spans="1:6">
      <c r="A61" s="88"/>
      <c r="B61" s="79"/>
      <c r="C61" s="76" t="s">
        <v>192</v>
      </c>
      <c r="D61" s="62" t="s">
        <v>77</v>
      </c>
      <c r="E61" s="77" t="s">
        <v>71</v>
      </c>
      <c r="F61" s="66"/>
    </row>
    <row r="62" spans="1:6">
      <c r="A62" s="88"/>
      <c r="B62" s="79"/>
      <c r="C62" s="76" t="s">
        <v>193</v>
      </c>
      <c r="D62" s="62" t="s">
        <v>79</v>
      </c>
      <c r="E62" s="77" t="s">
        <v>71</v>
      </c>
      <c r="F62" s="66"/>
    </row>
    <row r="63" spans="1:6">
      <c r="A63" s="88"/>
      <c r="B63" s="79"/>
      <c r="C63" s="76" t="s">
        <v>194</v>
      </c>
      <c r="D63" s="62" t="s">
        <v>81</v>
      </c>
      <c r="E63" s="77" t="s">
        <v>71</v>
      </c>
      <c r="F63" s="66"/>
    </row>
    <row r="64" spans="1:6">
      <c r="A64" s="88"/>
      <c r="B64" s="80"/>
      <c r="C64" s="76" t="s">
        <v>195</v>
      </c>
      <c r="D64" s="62" t="s">
        <v>83</v>
      </c>
      <c r="E64" s="77" t="s">
        <v>71</v>
      </c>
      <c r="F64" s="66"/>
    </row>
    <row r="65" spans="1:6">
      <c r="A65" s="88"/>
      <c r="B65" s="75" t="s">
        <v>196</v>
      </c>
      <c r="C65" s="76" t="s">
        <v>197</v>
      </c>
      <c r="D65" s="62" t="s">
        <v>61</v>
      </c>
      <c r="E65" s="77">
        <v>398</v>
      </c>
      <c r="F65" s="66"/>
    </row>
    <row r="66" spans="1:6">
      <c r="A66" s="88"/>
      <c r="B66" s="79"/>
      <c r="C66" s="76" t="s">
        <v>198</v>
      </c>
      <c r="D66" s="62" t="s">
        <v>64</v>
      </c>
      <c r="E66" s="77">
        <v>498</v>
      </c>
      <c r="F66" s="66"/>
    </row>
    <row r="67" spans="1:6">
      <c r="A67" s="88"/>
      <c r="B67" s="79"/>
      <c r="C67" s="76" t="s">
        <v>199</v>
      </c>
      <c r="D67" s="62" t="s">
        <v>66</v>
      </c>
      <c r="E67" s="77">
        <v>698</v>
      </c>
      <c r="F67" s="66"/>
    </row>
    <row r="68" spans="1:6">
      <c r="A68" s="88"/>
      <c r="B68" s="79"/>
      <c r="C68" s="76" t="s">
        <v>200</v>
      </c>
      <c r="D68" s="62" t="s">
        <v>68</v>
      </c>
      <c r="E68" s="77">
        <v>3988</v>
      </c>
      <c r="F68" s="66"/>
    </row>
    <row r="69" spans="1:6">
      <c r="A69" s="88"/>
      <c r="B69" s="79"/>
      <c r="C69" s="76" t="s">
        <v>201</v>
      </c>
      <c r="D69" s="62" t="s">
        <v>70</v>
      </c>
      <c r="E69" s="77" t="s">
        <v>188</v>
      </c>
      <c r="F69" s="66"/>
    </row>
    <row r="70" spans="1:6">
      <c r="A70" s="88"/>
      <c r="B70" s="79"/>
      <c r="C70" s="76" t="s">
        <v>202</v>
      </c>
      <c r="D70" s="62" t="s">
        <v>73</v>
      </c>
      <c r="E70" s="77" t="s">
        <v>190</v>
      </c>
      <c r="F70" s="66"/>
    </row>
    <row r="71" spans="1:6">
      <c r="A71" s="88"/>
      <c r="B71" s="79"/>
      <c r="C71" s="76" t="s">
        <v>203</v>
      </c>
      <c r="D71" s="62" t="s">
        <v>75</v>
      </c>
      <c r="E71" s="77" t="s">
        <v>71</v>
      </c>
      <c r="F71" s="66"/>
    </row>
    <row r="72" spans="1:6">
      <c r="A72" s="88"/>
      <c r="B72" s="79"/>
      <c r="C72" s="76" t="s">
        <v>204</v>
      </c>
      <c r="D72" s="62" t="s">
        <v>77</v>
      </c>
      <c r="E72" s="77" t="s">
        <v>71</v>
      </c>
      <c r="F72" s="66"/>
    </row>
    <row r="73" spans="1:6">
      <c r="A73" s="88"/>
      <c r="B73" s="79"/>
      <c r="C73" s="76" t="s">
        <v>205</v>
      </c>
      <c r="D73" s="62" t="s">
        <v>79</v>
      </c>
      <c r="E73" s="77" t="s">
        <v>71</v>
      </c>
      <c r="F73" s="66"/>
    </row>
    <row r="74" spans="1:6">
      <c r="A74" s="88"/>
      <c r="B74" s="79"/>
      <c r="C74" s="76" t="s">
        <v>206</v>
      </c>
      <c r="D74" s="62" t="s">
        <v>81</v>
      </c>
      <c r="E74" s="77" t="s">
        <v>71</v>
      </c>
      <c r="F74" s="66"/>
    </row>
    <row r="75" spans="1:6">
      <c r="A75" s="88"/>
      <c r="B75" s="80"/>
      <c r="C75" s="76" t="s">
        <v>207</v>
      </c>
      <c r="D75" s="62" t="s">
        <v>83</v>
      </c>
      <c r="E75" s="77" t="s">
        <v>71</v>
      </c>
      <c r="F75" s="66"/>
    </row>
    <row r="76" spans="1:6">
      <c r="A76" s="88"/>
      <c r="B76" s="75" t="s">
        <v>208</v>
      </c>
      <c r="C76" s="76" t="s">
        <v>209</v>
      </c>
      <c r="D76" s="62" t="s">
        <v>61</v>
      </c>
      <c r="E76" s="77">
        <v>558</v>
      </c>
      <c r="F76" s="66"/>
    </row>
    <row r="77" spans="1:6">
      <c r="A77" s="88"/>
      <c r="B77" s="79"/>
      <c r="C77" s="76" t="s">
        <v>210</v>
      </c>
      <c r="D77" s="62" t="s">
        <v>64</v>
      </c>
      <c r="E77" s="77">
        <v>658</v>
      </c>
      <c r="F77" s="66"/>
    </row>
    <row r="78" spans="1:6">
      <c r="A78" s="88"/>
      <c r="B78" s="79"/>
      <c r="C78" s="76" t="s">
        <v>211</v>
      </c>
      <c r="D78" s="62" t="s">
        <v>66</v>
      </c>
      <c r="E78" s="77">
        <v>858</v>
      </c>
      <c r="F78" s="66"/>
    </row>
    <row r="79" spans="1:6">
      <c r="A79" s="88"/>
      <c r="B79" s="79"/>
      <c r="C79" s="76" t="s">
        <v>212</v>
      </c>
      <c r="D79" s="62" t="s">
        <v>68</v>
      </c>
      <c r="E79" s="77">
        <v>4158</v>
      </c>
      <c r="F79" s="66"/>
    </row>
    <row r="80" spans="1:6">
      <c r="A80" s="88"/>
      <c r="B80" s="79"/>
      <c r="C80" s="76" t="s">
        <v>213</v>
      </c>
      <c r="D80" s="62" t="s">
        <v>70</v>
      </c>
      <c r="E80" s="77" t="s">
        <v>214</v>
      </c>
      <c r="F80" s="66"/>
    </row>
    <row r="81" spans="1:6">
      <c r="A81" s="88"/>
      <c r="B81" s="79"/>
      <c r="C81" s="76" t="s">
        <v>215</v>
      </c>
      <c r="D81" s="62" t="s">
        <v>73</v>
      </c>
      <c r="E81" s="77" t="s">
        <v>216</v>
      </c>
      <c r="F81" s="66"/>
    </row>
    <row r="82" spans="1:6">
      <c r="A82" s="88"/>
      <c r="B82" s="79"/>
      <c r="C82" s="76" t="s">
        <v>217</v>
      </c>
      <c r="D82" s="62" t="s">
        <v>75</v>
      </c>
      <c r="E82" s="77" t="s">
        <v>71</v>
      </c>
      <c r="F82" s="66"/>
    </row>
    <row r="83" spans="1:6">
      <c r="A83" s="88"/>
      <c r="B83" s="79"/>
      <c r="C83" s="76" t="s">
        <v>218</v>
      </c>
      <c r="D83" s="62" t="s">
        <v>77</v>
      </c>
      <c r="E83" s="77" t="s">
        <v>71</v>
      </c>
      <c r="F83" s="66"/>
    </row>
    <row r="84" spans="1:6">
      <c r="A84" s="88"/>
      <c r="B84" s="79"/>
      <c r="C84" s="76" t="s">
        <v>219</v>
      </c>
      <c r="D84" s="62" t="s">
        <v>79</v>
      </c>
      <c r="E84" s="77" t="s">
        <v>71</v>
      </c>
      <c r="F84" s="66"/>
    </row>
    <row r="85" spans="1:6">
      <c r="A85" s="88"/>
      <c r="B85" s="79"/>
      <c r="C85" s="76" t="s">
        <v>220</v>
      </c>
      <c r="D85" s="62" t="s">
        <v>81</v>
      </c>
      <c r="E85" s="77" t="s">
        <v>71</v>
      </c>
      <c r="F85" s="66"/>
    </row>
    <row r="86" spans="1:6">
      <c r="A86" s="88"/>
      <c r="B86" s="80"/>
      <c r="C86" s="76" t="s">
        <v>221</v>
      </c>
      <c r="D86" s="62" t="s">
        <v>83</v>
      </c>
      <c r="E86" s="77" t="s">
        <v>71</v>
      </c>
      <c r="F86" s="66"/>
    </row>
    <row r="87" spans="1:6">
      <c r="A87" s="88"/>
      <c r="B87" s="75" t="s">
        <v>222</v>
      </c>
      <c r="C87" s="76" t="s">
        <v>223</v>
      </c>
      <c r="D87" s="62" t="s">
        <v>61</v>
      </c>
      <c r="E87" s="77">
        <v>558</v>
      </c>
      <c r="F87" s="66"/>
    </row>
    <row r="88" spans="1:6">
      <c r="A88" s="88"/>
      <c r="B88" s="79"/>
      <c r="C88" s="76" t="s">
        <v>224</v>
      </c>
      <c r="D88" s="62" t="s">
        <v>64</v>
      </c>
      <c r="E88" s="77">
        <v>658</v>
      </c>
      <c r="F88" s="66"/>
    </row>
    <row r="89" spans="1:6">
      <c r="A89" s="88"/>
      <c r="B89" s="79"/>
      <c r="C89" s="76" t="s">
        <v>225</v>
      </c>
      <c r="D89" s="62" t="s">
        <v>66</v>
      </c>
      <c r="E89" s="77">
        <v>858</v>
      </c>
      <c r="F89" s="66"/>
    </row>
    <row r="90" spans="1:6">
      <c r="A90" s="88"/>
      <c r="B90" s="79"/>
      <c r="C90" s="76" t="s">
        <v>226</v>
      </c>
      <c r="D90" s="62" t="s">
        <v>68</v>
      </c>
      <c r="E90" s="77">
        <v>4158</v>
      </c>
      <c r="F90" s="66"/>
    </row>
    <row r="91" spans="1:6">
      <c r="A91" s="88"/>
      <c r="B91" s="79"/>
      <c r="C91" s="76" t="s">
        <v>227</v>
      </c>
      <c r="D91" s="62" t="s">
        <v>70</v>
      </c>
      <c r="E91" s="77" t="s">
        <v>214</v>
      </c>
      <c r="F91" s="66"/>
    </row>
    <row r="92" spans="1:6">
      <c r="A92" s="88"/>
      <c r="B92" s="79"/>
      <c r="C92" s="76" t="s">
        <v>228</v>
      </c>
      <c r="D92" s="62" t="s">
        <v>73</v>
      </c>
      <c r="E92" s="77" t="s">
        <v>216</v>
      </c>
      <c r="F92" s="66"/>
    </row>
    <row r="93" spans="1:6">
      <c r="A93" s="88"/>
      <c r="B93" s="79"/>
      <c r="C93" s="76" t="s">
        <v>229</v>
      </c>
      <c r="D93" s="62" t="s">
        <v>75</v>
      </c>
      <c r="E93" s="77" t="s">
        <v>71</v>
      </c>
      <c r="F93" s="66"/>
    </row>
    <row r="94" spans="1:6">
      <c r="A94" s="88"/>
      <c r="B94" s="79"/>
      <c r="C94" s="76" t="s">
        <v>230</v>
      </c>
      <c r="D94" s="62" t="s">
        <v>77</v>
      </c>
      <c r="E94" s="77" t="s">
        <v>71</v>
      </c>
      <c r="F94" s="66"/>
    </row>
    <row r="95" spans="1:6">
      <c r="A95" s="88"/>
      <c r="B95" s="79"/>
      <c r="C95" s="76" t="s">
        <v>231</v>
      </c>
      <c r="D95" s="62" t="s">
        <v>79</v>
      </c>
      <c r="E95" s="77" t="s">
        <v>71</v>
      </c>
      <c r="F95" s="66"/>
    </row>
    <row r="96" spans="1:6">
      <c r="A96" s="88"/>
      <c r="B96" s="79"/>
      <c r="C96" s="76" t="s">
        <v>232</v>
      </c>
      <c r="D96" s="62" t="s">
        <v>81</v>
      </c>
      <c r="E96" s="77" t="s">
        <v>71</v>
      </c>
      <c r="F96" s="66"/>
    </row>
    <row r="97" spans="1:6">
      <c r="A97" s="88"/>
      <c r="B97" s="80"/>
      <c r="C97" s="76" t="s">
        <v>233</v>
      </c>
      <c r="D97" s="62" t="s">
        <v>83</v>
      </c>
      <c r="E97" s="77" t="s">
        <v>71</v>
      </c>
      <c r="F97" s="66"/>
    </row>
    <row r="98" spans="1:6">
      <c r="A98" s="88"/>
      <c r="B98" s="75" t="s">
        <v>234</v>
      </c>
      <c r="C98" s="76" t="s">
        <v>235</v>
      </c>
      <c r="D98" s="62" t="s">
        <v>61</v>
      </c>
      <c r="E98" s="77">
        <v>1918</v>
      </c>
      <c r="F98" s="66"/>
    </row>
    <row r="99" spans="1:6">
      <c r="A99" s="88"/>
      <c r="B99" s="79"/>
      <c r="C99" s="76" t="s">
        <v>236</v>
      </c>
      <c r="D99" s="62" t="s">
        <v>64</v>
      </c>
      <c r="E99" s="77">
        <v>2518</v>
      </c>
      <c r="F99" s="66"/>
    </row>
    <row r="100" spans="1:6">
      <c r="A100" s="88"/>
      <c r="B100" s="79"/>
      <c r="C100" s="76" t="s">
        <v>237</v>
      </c>
      <c r="D100" s="62" t="s">
        <v>66</v>
      </c>
      <c r="E100" s="77">
        <v>3118</v>
      </c>
      <c r="F100" s="66"/>
    </row>
    <row r="101" spans="1:6">
      <c r="A101" s="88"/>
      <c r="B101" s="79"/>
      <c r="C101" s="76" t="s">
        <v>238</v>
      </c>
      <c r="D101" s="62" t="s">
        <v>68</v>
      </c>
      <c r="E101" s="77" t="s">
        <v>71</v>
      </c>
      <c r="F101" s="66"/>
    </row>
    <row r="102" spans="1:6">
      <c r="A102" s="88"/>
      <c r="B102" s="79"/>
      <c r="C102" s="76" t="s">
        <v>239</v>
      </c>
      <c r="D102" s="62" t="s">
        <v>70</v>
      </c>
      <c r="E102" s="77" t="s">
        <v>71</v>
      </c>
      <c r="F102" s="66"/>
    </row>
    <row r="103" spans="1:6">
      <c r="A103" s="88"/>
      <c r="B103" s="79"/>
      <c r="C103" s="76" t="s">
        <v>240</v>
      </c>
      <c r="D103" s="62" t="s">
        <v>73</v>
      </c>
      <c r="E103" s="77" t="s">
        <v>71</v>
      </c>
      <c r="F103" s="66"/>
    </row>
    <row r="104" spans="1:6">
      <c r="A104" s="88"/>
      <c r="B104" s="79"/>
      <c r="C104" s="76" t="s">
        <v>241</v>
      </c>
      <c r="D104" s="62" t="s">
        <v>75</v>
      </c>
      <c r="E104" s="77" t="s">
        <v>71</v>
      </c>
      <c r="F104" s="66"/>
    </row>
    <row r="105" spans="1:6">
      <c r="A105" s="88"/>
      <c r="B105" s="79"/>
      <c r="C105" s="76" t="s">
        <v>242</v>
      </c>
      <c r="D105" s="62" t="s">
        <v>77</v>
      </c>
      <c r="E105" s="77" t="s">
        <v>71</v>
      </c>
      <c r="F105" s="66"/>
    </row>
    <row r="106" spans="1:6">
      <c r="A106" s="88"/>
      <c r="B106" s="79"/>
      <c r="C106" s="76" t="s">
        <v>243</v>
      </c>
      <c r="D106" s="62" t="s">
        <v>79</v>
      </c>
      <c r="E106" s="77" t="s">
        <v>71</v>
      </c>
      <c r="F106" s="66"/>
    </row>
    <row r="107" spans="1:6">
      <c r="A107" s="88"/>
      <c r="B107" s="79"/>
      <c r="C107" s="76" t="s">
        <v>244</v>
      </c>
      <c r="D107" s="62" t="s">
        <v>81</v>
      </c>
      <c r="E107" s="77" t="s">
        <v>71</v>
      </c>
      <c r="F107" s="66"/>
    </row>
    <row r="108" spans="1:6">
      <c r="A108" s="89"/>
      <c r="B108" s="80"/>
      <c r="C108" s="76" t="s">
        <v>241</v>
      </c>
      <c r="D108" s="62" t="s">
        <v>83</v>
      </c>
      <c r="E108" s="77" t="s">
        <v>71</v>
      </c>
      <c r="F108" s="66"/>
    </row>
    <row r="109" ht="30" spans="1:6">
      <c r="A109" s="75" t="s">
        <v>245</v>
      </c>
      <c r="B109" s="76" t="s">
        <v>246</v>
      </c>
      <c r="C109" s="76" t="s">
        <v>247</v>
      </c>
      <c r="D109" s="62" t="s">
        <v>248</v>
      </c>
      <c r="E109" s="77" t="s">
        <v>71</v>
      </c>
      <c r="F109" s="66"/>
    </row>
    <row r="110" spans="1:6">
      <c r="A110" s="79"/>
      <c r="B110" s="76" t="s">
        <v>249</v>
      </c>
      <c r="C110" s="76" t="s">
        <v>250</v>
      </c>
      <c r="D110" s="62"/>
      <c r="E110" s="77" t="s">
        <v>71</v>
      </c>
      <c r="F110" s="66"/>
    </row>
    <row r="111" spans="1:6">
      <c r="A111" s="79"/>
      <c r="B111" s="76" t="s">
        <v>251</v>
      </c>
      <c r="C111" s="76" t="s">
        <v>252</v>
      </c>
      <c r="D111" s="62"/>
      <c r="E111" s="77" t="s">
        <v>71</v>
      </c>
      <c r="F111" s="66"/>
    </row>
    <row r="112" spans="1:6">
      <c r="A112" s="79"/>
      <c r="B112" s="76" t="s">
        <v>253</v>
      </c>
      <c r="C112" s="76" t="s">
        <v>254</v>
      </c>
      <c r="D112" s="62"/>
      <c r="E112" s="77" t="s">
        <v>71</v>
      </c>
      <c r="F112" s="66"/>
    </row>
    <row r="113" spans="1:19">
      <c r="A113" s="79"/>
      <c r="B113" s="76" t="s">
        <v>255</v>
      </c>
      <c r="C113" s="76" t="s">
        <v>256</v>
      </c>
      <c r="D113" s="62"/>
      <c r="E113" s="77" t="s">
        <v>71</v>
      </c>
      <c r="F113" s="66"/>
    </row>
    <row r="114" spans="1:19">
      <c r="A114" s="79"/>
      <c r="B114" s="76" t="s">
        <v>257</v>
      </c>
      <c r="C114" s="76" t="s">
        <v>258</v>
      </c>
      <c r="D114" s="62"/>
      <c r="E114" s="77" t="s">
        <v>71</v>
      </c>
      <c r="F114" s="66"/>
    </row>
    <row r="115" spans="1:19">
      <c r="A115" s="79"/>
      <c r="B115" s="76" t="s">
        <v>259</v>
      </c>
      <c r="C115" s="76" t="s">
        <v>260</v>
      </c>
      <c r="D115" s="62" t="s">
        <v>175</v>
      </c>
      <c r="E115" s="85" t="s">
        <v>176</v>
      </c>
      <c r="F115" s="66"/>
    </row>
    <row r="116" spans="1:19">
      <c r="A116" s="80"/>
      <c r="B116" s="76" t="s">
        <v>177</v>
      </c>
      <c r="C116" s="76" t="s">
        <v>261</v>
      </c>
      <c r="D116" s="62" t="s">
        <v>179</v>
      </c>
      <c r="E116" s="77" t="s">
        <v>180</v>
      </c>
      <c r="F116" s="66"/>
    </row>
    <row r="117" spans="1:19">
      <c r="A117" s="87" t="s">
        <v>262</v>
      </c>
      <c r="B117" s="76" t="s">
        <v>263</v>
      </c>
      <c r="C117" s="76" t="s">
        <v>264</v>
      </c>
      <c r="D117" s="64" t="s">
        <v>61</v>
      </c>
      <c r="E117" s="77">
        <v>498</v>
      </c>
      <c r="F117" s="66"/>
    </row>
    <row r="118" spans="1:19">
      <c r="A118" s="88"/>
      <c r="B118" s="76" t="s">
        <v>265</v>
      </c>
      <c r="C118" s="76" t="s">
        <v>266</v>
      </c>
      <c r="D118" s="64" t="s">
        <v>61</v>
      </c>
      <c r="E118" s="77">
        <v>598</v>
      </c>
      <c r="F118" s="66"/>
    </row>
    <row r="119" spans="1:19">
      <c r="A119" s="88"/>
      <c r="B119" s="76" t="s">
        <v>267</v>
      </c>
      <c r="C119" s="76" t="s">
        <v>268</v>
      </c>
      <c r="D119" s="64" t="s">
        <v>61</v>
      </c>
      <c r="E119" s="77">
        <v>998</v>
      </c>
      <c r="F119" s="66"/>
    </row>
    <row r="120" spans="1:19">
      <c r="A120" s="88"/>
      <c r="B120" s="76" t="s">
        <v>269</v>
      </c>
      <c r="C120" s="76" t="s">
        <v>270</v>
      </c>
      <c r="D120" s="64" t="s">
        <v>61</v>
      </c>
      <c r="E120" s="77">
        <v>568</v>
      </c>
      <c r="F120" s="66"/>
    </row>
    <row r="121" spans="1:19">
      <c r="A121" s="88"/>
      <c r="B121" s="76" t="s">
        <v>271</v>
      </c>
      <c r="C121" s="76" t="s">
        <v>272</v>
      </c>
      <c r="D121" s="64" t="s">
        <v>61</v>
      </c>
      <c r="E121" s="77">
        <v>668</v>
      </c>
      <c r="F121" s="66"/>
    </row>
    <row r="122" spans="1:19">
      <c r="A122" s="89"/>
      <c r="B122" s="76" t="s">
        <v>273</v>
      </c>
      <c r="C122" s="76" t="s">
        <v>274</v>
      </c>
      <c r="D122" s="64" t="s">
        <v>61</v>
      </c>
      <c r="E122" s="77">
        <v>1198</v>
      </c>
      <c r="F122" s="66"/>
    </row>
    <row r="124" spans="1:19">
      <c r="A124" s="56" t="s">
        <v>275</v>
      </c>
      <c r="B124"/>
      <c r="C124"/>
      <c r="D124"/>
      <c r="E124" s="90"/>
      <c r="F124"/>
    </row>
    <row r="125" s="68" customFormat="1" ht="64.2" customHeight="1" spans="1:19">
      <c r="A125" s="91" t="s">
        <v>276</v>
      </c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ht="54" customHeight="1" spans="1:19">
      <c r="A126" s="91" t="s">
        <v>277</v>
      </c>
      <c r="B126" s="91"/>
      <c r="C126" s="91"/>
      <c r="D126" s="91"/>
      <c r="E126" s="91"/>
      <c r="F126" s="91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</row>
    <row r="127" spans="1:19">
      <c r="A127" s="91" t="s">
        <v>278</v>
      </c>
      <c r="B127" s="91"/>
      <c r="C127" s="91"/>
      <c r="D127" s="91"/>
      <c r="E127" s="91"/>
      <c r="F127" s="91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</row>
    <row r="130" spans="1:6">
      <c r="A130" s="71" t="s">
        <v>49</v>
      </c>
      <c r="B130" s="93" t="s">
        <v>279</v>
      </c>
      <c r="C130" s="93" t="s">
        <v>51</v>
      </c>
      <c r="D130" s="93" t="s">
        <v>52</v>
      </c>
      <c r="E130" s="93" t="s">
        <v>280</v>
      </c>
      <c r="F130" s="94"/>
    </row>
    <row r="131" spans="1:6">
      <c r="A131" s="95" t="s">
        <v>281</v>
      </c>
      <c r="B131" s="96" t="s">
        <v>282</v>
      </c>
      <c r="C131" s="76" t="s">
        <v>283</v>
      </c>
      <c r="D131" s="96" t="s">
        <v>61</v>
      </c>
      <c r="E131" s="96">
        <v>398</v>
      </c>
      <c r="F131" s="94"/>
    </row>
    <row r="132" spans="1:6">
      <c r="A132" s="94"/>
      <c r="B132" s="96"/>
      <c r="C132" s="76" t="s">
        <v>284</v>
      </c>
      <c r="D132" s="96" t="s">
        <v>64</v>
      </c>
      <c r="E132" s="96">
        <v>498</v>
      </c>
      <c r="F132" s="94"/>
    </row>
    <row r="133" spans="1:6">
      <c r="A133" s="94"/>
      <c r="B133" s="96"/>
      <c r="C133" s="76" t="s">
        <v>285</v>
      </c>
      <c r="D133" s="96" t="s">
        <v>66</v>
      </c>
      <c r="E133" s="96">
        <v>698</v>
      </c>
      <c r="F133" s="94"/>
    </row>
    <row r="134" spans="1:6">
      <c r="A134" s="94"/>
      <c r="B134" s="96"/>
      <c r="C134" s="76" t="s">
        <v>286</v>
      </c>
      <c r="D134" s="96" t="s">
        <v>68</v>
      </c>
      <c r="E134" s="96">
        <v>3988</v>
      </c>
      <c r="F134" s="94"/>
    </row>
    <row r="135" spans="1:6">
      <c r="A135" s="94"/>
      <c r="B135" s="96"/>
      <c r="C135" s="76" t="s">
        <v>287</v>
      </c>
      <c r="D135" s="96" t="s">
        <v>70</v>
      </c>
      <c r="E135" s="96" t="s">
        <v>71</v>
      </c>
      <c r="F135" s="94"/>
    </row>
    <row r="136" spans="1:6">
      <c r="A136" s="94"/>
      <c r="B136" s="96"/>
      <c r="C136" s="76" t="s">
        <v>288</v>
      </c>
      <c r="D136" s="96" t="s">
        <v>73</v>
      </c>
      <c r="E136" s="96" t="s">
        <v>71</v>
      </c>
      <c r="F136" s="94"/>
    </row>
    <row r="137" spans="1:6">
      <c r="A137" s="94"/>
      <c r="B137" s="96"/>
      <c r="C137" s="76" t="s">
        <v>289</v>
      </c>
      <c r="D137" s="96" t="s">
        <v>75</v>
      </c>
      <c r="E137" s="96" t="s">
        <v>71</v>
      </c>
      <c r="F137" s="94"/>
    </row>
    <row r="138" spans="1:6">
      <c r="A138" s="94"/>
      <c r="B138" s="96"/>
      <c r="C138" s="76" t="s">
        <v>290</v>
      </c>
      <c r="D138" s="96" t="s">
        <v>77</v>
      </c>
      <c r="E138" s="96" t="s">
        <v>71</v>
      </c>
      <c r="F138" s="94"/>
    </row>
    <row r="139" spans="1:6">
      <c r="A139" s="94"/>
      <c r="B139" s="96"/>
      <c r="C139" s="76" t="s">
        <v>291</v>
      </c>
      <c r="D139" s="96" t="s">
        <v>79</v>
      </c>
      <c r="E139" s="96" t="s">
        <v>71</v>
      </c>
      <c r="F139" s="94"/>
    </row>
    <row r="140" spans="1:6">
      <c r="A140" s="94"/>
      <c r="B140" s="96"/>
      <c r="C140" s="76" t="s">
        <v>292</v>
      </c>
      <c r="D140" s="96" t="s">
        <v>81</v>
      </c>
      <c r="E140" s="96" t="s">
        <v>71</v>
      </c>
      <c r="F140" s="94"/>
    </row>
    <row r="141" spans="1:6">
      <c r="A141" s="94"/>
      <c r="B141" s="96"/>
      <c r="C141" s="76" t="s">
        <v>293</v>
      </c>
      <c r="D141" s="96" t="s">
        <v>83</v>
      </c>
      <c r="E141" s="96" t="s">
        <v>71</v>
      </c>
      <c r="F141" s="94"/>
    </row>
    <row r="142" spans="1:6">
      <c r="A142" s="94"/>
      <c r="B142" s="96" t="s">
        <v>294</v>
      </c>
      <c r="C142" s="76" t="s">
        <v>295</v>
      </c>
      <c r="D142" s="96" t="s">
        <v>61</v>
      </c>
      <c r="E142" s="96">
        <v>868</v>
      </c>
      <c r="F142" s="94"/>
    </row>
    <row r="143" spans="1:6">
      <c r="A143" s="94"/>
      <c r="B143" s="96"/>
      <c r="C143" s="76" t="s">
        <v>296</v>
      </c>
      <c r="D143" s="96" t="s">
        <v>64</v>
      </c>
      <c r="E143" s="96">
        <v>1268</v>
      </c>
      <c r="F143" s="94"/>
    </row>
    <row r="144" spans="1:6">
      <c r="A144" s="94"/>
      <c r="B144" s="96"/>
      <c r="C144" s="76" t="s">
        <v>297</v>
      </c>
      <c r="D144" s="96" t="s">
        <v>66</v>
      </c>
      <c r="E144" s="96">
        <v>2268</v>
      </c>
      <c r="F144" s="94"/>
    </row>
    <row r="145" spans="1:6">
      <c r="A145" s="94"/>
      <c r="B145" s="96"/>
      <c r="C145" s="76" t="s">
        <v>298</v>
      </c>
      <c r="D145" s="96" t="s">
        <v>68</v>
      </c>
      <c r="E145" s="96" t="s">
        <v>71</v>
      </c>
      <c r="F145" s="94"/>
    </row>
    <row r="146" spans="1:6">
      <c r="A146" s="94"/>
      <c r="B146" s="96"/>
      <c r="C146" s="76" t="s">
        <v>299</v>
      </c>
      <c r="D146" s="96" t="s">
        <v>70</v>
      </c>
      <c r="E146" s="96" t="s">
        <v>71</v>
      </c>
      <c r="F146" s="94"/>
    </row>
    <row r="147" spans="1:6">
      <c r="A147" s="94"/>
      <c r="B147" s="96"/>
      <c r="C147" s="76" t="s">
        <v>300</v>
      </c>
      <c r="D147" s="96" t="s">
        <v>73</v>
      </c>
      <c r="E147" s="96" t="s">
        <v>71</v>
      </c>
      <c r="F147" s="94"/>
    </row>
    <row r="148" spans="1:6">
      <c r="A148" s="94"/>
      <c r="B148" s="96"/>
      <c r="C148" s="76" t="s">
        <v>301</v>
      </c>
      <c r="D148" s="96" t="s">
        <v>75</v>
      </c>
      <c r="E148" s="96" t="s">
        <v>71</v>
      </c>
      <c r="F148" s="94"/>
    </row>
    <row r="149" spans="1:6">
      <c r="A149" s="94"/>
      <c r="B149" s="96"/>
      <c r="C149" s="76" t="s">
        <v>302</v>
      </c>
      <c r="D149" s="96" t="s">
        <v>77</v>
      </c>
      <c r="E149" s="96" t="s">
        <v>71</v>
      </c>
      <c r="F149" s="94"/>
    </row>
    <row r="150" spans="1:6">
      <c r="A150" s="94"/>
      <c r="B150" s="96"/>
      <c r="C150" s="76" t="s">
        <v>303</v>
      </c>
      <c r="D150" s="96" t="s">
        <v>79</v>
      </c>
      <c r="E150" s="96" t="s">
        <v>71</v>
      </c>
      <c r="F150" s="94"/>
    </row>
    <row r="151" spans="1:6">
      <c r="A151" s="94"/>
      <c r="B151" s="96"/>
      <c r="C151" s="76" t="s">
        <v>304</v>
      </c>
      <c r="D151" s="96" t="s">
        <v>81</v>
      </c>
      <c r="E151" s="96" t="s">
        <v>71</v>
      </c>
      <c r="F151" s="94"/>
    </row>
    <row r="152" spans="1:6">
      <c r="A152" s="94"/>
      <c r="B152" s="96"/>
      <c r="C152" s="76" t="s">
        <v>305</v>
      </c>
      <c r="D152" s="96" t="s">
        <v>83</v>
      </c>
      <c r="E152" s="96" t="s">
        <v>71</v>
      </c>
      <c r="F152" s="94"/>
    </row>
    <row r="153" spans="1:6">
      <c r="A153" s="94"/>
      <c r="B153" s="97" t="s">
        <v>306</v>
      </c>
      <c r="C153" s="76" t="s">
        <v>307</v>
      </c>
      <c r="D153" s="96" t="s">
        <v>308</v>
      </c>
      <c r="E153" s="96">
        <v>398</v>
      </c>
      <c r="F153" s="94"/>
    </row>
    <row r="154" spans="1:6">
      <c r="A154" s="94"/>
      <c r="B154" s="97"/>
      <c r="C154" s="76" t="s">
        <v>309</v>
      </c>
      <c r="D154" s="96" t="s">
        <v>64</v>
      </c>
      <c r="E154" s="96">
        <v>498</v>
      </c>
      <c r="F154" s="94"/>
    </row>
    <row r="155" spans="1:6">
      <c r="A155" s="94"/>
      <c r="B155" s="97"/>
      <c r="C155" s="76" t="s">
        <v>310</v>
      </c>
      <c r="D155" s="96" t="s">
        <v>66</v>
      </c>
      <c r="E155" s="96">
        <v>698</v>
      </c>
      <c r="F155" s="94"/>
    </row>
    <row r="156" spans="1:6">
      <c r="A156" s="94"/>
      <c r="B156" s="97"/>
      <c r="C156" s="76" t="s">
        <v>311</v>
      </c>
      <c r="D156" s="96" t="s">
        <v>68</v>
      </c>
      <c r="E156" s="96">
        <v>3988</v>
      </c>
      <c r="F156" s="94"/>
    </row>
    <row r="157" spans="1:6">
      <c r="A157" s="94"/>
      <c r="B157" s="97"/>
      <c r="C157" s="76" t="s">
        <v>312</v>
      </c>
      <c r="D157" s="96" t="s">
        <v>70</v>
      </c>
      <c r="E157" s="96" t="s">
        <v>71</v>
      </c>
      <c r="F157" s="94"/>
    </row>
    <row r="158" spans="1:6">
      <c r="A158" s="94"/>
      <c r="B158" s="97"/>
      <c r="C158" s="76" t="s">
        <v>313</v>
      </c>
      <c r="D158" s="96" t="s">
        <v>73</v>
      </c>
      <c r="E158" s="96" t="s">
        <v>71</v>
      </c>
      <c r="F158" s="94"/>
    </row>
    <row r="159" spans="1:6">
      <c r="A159" s="94"/>
      <c r="B159" s="97"/>
      <c r="C159" s="76" t="s">
        <v>314</v>
      </c>
      <c r="D159" s="96" t="s">
        <v>75</v>
      </c>
      <c r="E159" s="96" t="s">
        <v>71</v>
      </c>
      <c r="F159" s="94"/>
    </row>
    <row r="160" spans="1:6">
      <c r="A160" s="94"/>
      <c r="B160" s="97"/>
      <c r="C160" s="76" t="s">
        <v>315</v>
      </c>
      <c r="D160" s="96" t="s">
        <v>77</v>
      </c>
      <c r="E160" s="96" t="s">
        <v>71</v>
      </c>
      <c r="F160" s="94"/>
    </row>
    <row r="161" spans="1:14">
      <c r="A161" s="94"/>
      <c r="B161" s="97"/>
      <c r="C161" s="76" t="s">
        <v>316</v>
      </c>
      <c r="D161" s="96" t="s">
        <v>79</v>
      </c>
      <c r="E161" s="96" t="s">
        <v>71</v>
      </c>
      <c r="F161" s="94"/>
    </row>
    <row r="162" spans="1:14">
      <c r="A162" s="94"/>
      <c r="B162" s="97"/>
      <c r="C162" s="76" t="s">
        <v>317</v>
      </c>
      <c r="D162" s="96" t="s">
        <v>81</v>
      </c>
      <c r="E162" s="96" t="s">
        <v>71</v>
      </c>
      <c r="F162" s="94"/>
    </row>
    <row r="163" spans="1:14">
      <c r="A163" s="94"/>
      <c r="B163" s="97" t="s">
        <v>318</v>
      </c>
      <c r="C163" s="76" t="s">
        <v>319</v>
      </c>
      <c r="D163" s="96" t="s">
        <v>308</v>
      </c>
      <c r="E163" s="96" t="s">
        <v>71</v>
      </c>
      <c r="F163" s="94"/>
    </row>
    <row r="164" spans="1:14">
      <c r="A164" s="94"/>
      <c r="B164" s="97"/>
      <c r="C164" s="76" t="s">
        <v>320</v>
      </c>
      <c r="D164" s="96" t="s">
        <v>64</v>
      </c>
      <c r="E164" s="96" t="s">
        <v>71</v>
      </c>
      <c r="F164" s="94"/>
    </row>
    <row r="165" spans="1:14">
      <c r="A165" s="94"/>
      <c r="B165" s="97"/>
      <c r="C165" s="76" t="s">
        <v>321</v>
      </c>
      <c r="D165" s="96" t="s">
        <v>66</v>
      </c>
      <c r="E165" s="96" t="s">
        <v>71</v>
      </c>
      <c r="F165" s="94"/>
    </row>
    <row r="166" spans="1:14">
      <c r="A166" s="94"/>
      <c r="B166" s="97"/>
      <c r="C166" s="76" t="s">
        <v>322</v>
      </c>
      <c r="D166" s="96" t="s">
        <v>68</v>
      </c>
      <c r="E166" s="96" t="s">
        <v>71</v>
      </c>
      <c r="F166" s="94"/>
    </row>
    <row r="167" spans="1:14">
      <c r="A167" s="94"/>
      <c r="B167" s="97"/>
      <c r="C167" s="76" t="s">
        <v>323</v>
      </c>
      <c r="D167" s="96" t="s">
        <v>70</v>
      </c>
      <c r="E167" s="96" t="s">
        <v>71</v>
      </c>
      <c r="F167" s="94"/>
    </row>
    <row r="168" spans="1:14">
      <c r="A168" s="94"/>
      <c r="B168" s="97"/>
      <c r="C168" s="76" t="s">
        <v>324</v>
      </c>
      <c r="D168" s="96" t="s">
        <v>73</v>
      </c>
      <c r="E168" s="96" t="s">
        <v>71</v>
      </c>
      <c r="F168" s="94"/>
    </row>
    <row r="169" spans="1:14">
      <c r="A169" s="94"/>
      <c r="B169" s="97"/>
      <c r="C169" s="76" t="s">
        <v>325</v>
      </c>
      <c r="D169" s="96" t="s">
        <v>75</v>
      </c>
      <c r="E169" s="96" t="s">
        <v>71</v>
      </c>
      <c r="F169" s="94"/>
    </row>
    <row r="170" spans="1:14">
      <c r="A170" s="94"/>
      <c r="B170" s="97"/>
      <c r="C170" s="76" t="s">
        <v>326</v>
      </c>
      <c r="D170" s="96" t="s">
        <v>77</v>
      </c>
      <c r="E170" s="96" t="s">
        <v>71</v>
      </c>
      <c r="F170" s="94"/>
    </row>
    <row r="171" spans="1:14">
      <c r="A171" s="94"/>
      <c r="B171" s="97"/>
      <c r="C171" s="76" t="s">
        <v>327</v>
      </c>
      <c r="D171" s="96" t="s">
        <v>79</v>
      </c>
      <c r="E171" s="96" t="s">
        <v>71</v>
      </c>
      <c r="F171" s="94"/>
    </row>
    <row r="172" spans="1:14">
      <c r="A172" s="94"/>
      <c r="B172" s="97"/>
      <c r="C172" s="76" t="s">
        <v>328</v>
      </c>
      <c r="D172" s="96" t="s">
        <v>81</v>
      </c>
      <c r="E172" s="96" t="s">
        <v>71</v>
      </c>
      <c r="F172" s="94"/>
    </row>
    <row r="173" spans="1:14">
      <c r="A173" s="94"/>
      <c r="B173" s="96" t="s">
        <v>173</v>
      </c>
      <c r="C173" s="94" t="s">
        <v>329</v>
      </c>
      <c r="D173" s="96" t="s">
        <v>175</v>
      </c>
      <c r="E173" s="96">
        <v>10000</v>
      </c>
      <c r="F173" s="94"/>
    </row>
    <row r="174" spans="1:14">
      <c r="A174" s="98"/>
      <c r="B174" s="99" t="s">
        <v>177</v>
      </c>
      <c r="C174" s="98" t="s">
        <v>330</v>
      </c>
      <c r="D174" s="99" t="s">
        <v>179</v>
      </c>
      <c r="E174" s="99" t="s">
        <v>180</v>
      </c>
      <c r="F174" s="98"/>
    </row>
    <row r="175" ht="63.6" customHeight="1" spans="1:14">
      <c r="A175" s="100" t="s">
        <v>331</v>
      </c>
      <c r="B175" s="100"/>
      <c r="C175" s="100"/>
      <c r="D175" s="100"/>
      <c r="E175" s="100"/>
      <c r="F175" s="100"/>
      <c r="G175" s="92"/>
      <c r="H175" s="92"/>
      <c r="I175" s="92"/>
      <c r="J175" s="92"/>
      <c r="K175" s="92"/>
      <c r="L175" s="92"/>
      <c r="M175" s="92"/>
      <c r="N175" s="92"/>
    </row>
    <row r="176" spans="1:14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</row>
    <row r="177" spans="1:14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</row>
    <row r="178" spans="1:14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</row>
    <row r="179" spans="1:14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</row>
  </sheetData>
  <mergeCells count="23">
    <mergeCell ref="A125:F125"/>
    <mergeCell ref="A126:F126"/>
    <mergeCell ref="A127:F127"/>
    <mergeCell ref="A175:F175"/>
    <mergeCell ref="A2:A31"/>
    <mergeCell ref="A32:A39"/>
    <mergeCell ref="A40:A51"/>
    <mergeCell ref="A52:A53"/>
    <mergeCell ref="A54:A108"/>
    <mergeCell ref="A109:A116"/>
    <mergeCell ref="A117:A122"/>
    <mergeCell ref="A131:A174"/>
    <mergeCell ref="B2:B12"/>
    <mergeCell ref="B13:B23"/>
    <mergeCell ref="B54:B64"/>
    <mergeCell ref="B65:B75"/>
    <mergeCell ref="B76:B86"/>
    <mergeCell ref="B87:B97"/>
    <mergeCell ref="B98:B108"/>
    <mergeCell ref="B131:B141"/>
    <mergeCell ref="B142:B152"/>
    <mergeCell ref="B153:B162"/>
    <mergeCell ref="B163:B17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B29" sqref="B29"/>
    </sheetView>
  </sheetViews>
  <sheetFormatPr defaultColWidth="9" defaultRowHeight="15" outlineLevelCol="7"/>
  <cols>
    <col min="1" max="3" width="38.7" customWidth="1"/>
    <col min="4" max="4" width="24.7" customWidth="1"/>
    <col min="5" max="5" width="25.3" customWidth="1"/>
    <col min="6" max="6" width="33.4" customWidth="1"/>
    <col min="7" max="7" width="23.8" customWidth="1"/>
    <col min="8" max="8" width="30.1" customWidth="1"/>
  </cols>
  <sheetData>
    <row r="1" s="56" customFormat="1" spans="1:8">
      <c r="A1" s="57" t="s">
        <v>58</v>
      </c>
      <c r="B1" s="58" t="s">
        <v>118</v>
      </c>
      <c r="C1" s="59" t="s">
        <v>135</v>
      </c>
      <c r="D1" s="59" t="s">
        <v>172</v>
      </c>
      <c r="E1" s="57" t="s">
        <v>181</v>
      </c>
      <c r="F1" s="60" t="s">
        <v>245</v>
      </c>
      <c r="G1" s="60" t="s">
        <v>262</v>
      </c>
      <c r="H1" s="61" t="s">
        <v>281</v>
      </c>
    </row>
    <row r="2" spans="1:8">
      <c r="A2" s="62" t="s">
        <v>59</v>
      </c>
      <c r="B2" s="63" t="s">
        <v>119</v>
      </c>
      <c r="C2" s="62" t="s">
        <v>136</v>
      </c>
      <c r="D2" s="62" t="s">
        <v>173</v>
      </c>
      <c r="E2" s="62" t="s">
        <v>182</v>
      </c>
      <c r="F2" s="62" t="s">
        <v>246</v>
      </c>
      <c r="G2" s="64" t="s">
        <v>263</v>
      </c>
      <c r="H2" s="65" t="s">
        <v>282</v>
      </c>
    </row>
    <row r="3" ht="30" spans="1:8">
      <c r="A3" s="66" t="s">
        <v>332</v>
      </c>
      <c r="B3" s="67" t="s">
        <v>121</v>
      </c>
      <c r="C3" s="62" t="s">
        <v>139</v>
      </c>
      <c r="D3" s="62" t="s">
        <v>177</v>
      </c>
      <c r="E3" s="62" t="s">
        <v>196</v>
      </c>
      <c r="F3" s="62" t="s">
        <v>249</v>
      </c>
      <c r="G3" s="64" t="s">
        <v>265</v>
      </c>
      <c r="H3" s="65" t="s">
        <v>294</v>
      </c>
    </row>
    <row r="4" spans="1:8">
      <c r="A4" s="62" t="s">
        <v>96</v>
      </c>
      <c r="B4" s="67" t="s">
        <v>123</v>
      </c>
      <c r="C4" s="62" t="s">
        <v>142</v>
      </c>
      <c r="E4" s="62" t="s">
        <v>208</v>
      </c>
      <c r="F4" s="62" t="s">
        <v>251</v>
      </c>
      <c r="G4" s="64" t="s">
        <v>267</v>
      </c>
      <c r="H4" s="65" t="s">
        <v>306</v>
      </c>
    </row>
    <row r="5" spans="1:8">
      <c r="A5" s="62" t="s">
        <v>100</v>
      </c>
      <c r="B5" s="67" t="s">
        <v>125</v>
      </c>
      <c r="C5" s="62" t="s">
        <v>145</v>
      </c>
      <c r="E5" s="62" t="s">
        <v>222</v>
      </c>
      <c r="F5" s="62" t="s">
        <v>253</v>
      </c>
      <c r="G5" s="64" t="s">
        <v>269</v>
      </c>
      <c r="H5" s="65" t="s">
        <v>318</v>
      </c>
    </row>
    <row r="6" spans="1:8">
      <c r="A6" s="62" t="s">
        <v>103</v>
      </c>
      <c r="B6" s="67" t="s">
        <v>127</v>
      </c>
      <c r="C6" s="62" t="s">
        <v>148</v>
      </c>
      <c r="E6" s="62" t="s">
        <v>234</v>
      </c>
      <c r="F6" s="62" t="s">
        <v>255</v>
      </c>
      <c r="G6" s="64" t="s">
        <v>271</v>
      </c>
      <c r="H6" s="65" t="s">
        <v>173</v>
      </c>
    </row>
    <row r="7" spans="1:8">
      <c r="A7" s="62" t="s">
        <v>106</v>
      </c>
      <c r="B7" s="67" t="s">
        <v>129</v>
      </c>
      <c r="C7" s="62" t="s">
        <v>151</v>
      </c>
      <c r="F7" s="62" t="s">
        <v>257</v>
      </c>
      <c r="G7" s="64" t="s">
        <v>273</v>
      </c>
      <c r="H7" s="65" t="s">
        <v>177</v>
      </c>
    </row>
    <row r="8" spans="1:8">
      <c r="A8" s="62" t="s">
        <v>108</v>
      </c>
      <c r="B8" s="67" t="s">
        <v>131</v>
      </c>
      <c r="C8" s="62" t="s">
        <v>154</v>
      </c>
      <c r="F8" s="62" t="s">
        <v>259</v>
      </c>
    </row>
    <row r="9" spans="1:8">
      <c r="A9" s="62" t="s">
        <v>110</v>
      </c>
      <c r="B9" s="67" t="s">
        <v>133</v>
      </c>
      <c r="C9" s="62" t="s">
        <v>157</v>
      </c>
      <c r="F9" s="62" t="s">
        <v>177</v>
      </c>
    </row>
    <row r="10" spans="1:8">
      <c r="A10" s="62" t="s">
        <v>113</v>
      </c>
      <c r="C10" s="62" t="s">
        <v>160</v>
      </c>
    </row>
    <row r="11" spans="1:8">
      <c r="A11" s="62" t="s">
        <v>115</v>
      </c>
      <c r="C11" s="62" t="s">
        <v>163</v>
      </c>
    </row>
    <row r="12" spans="1:8">
      <c r="C12" s="62" t="s">
        <v>166</v>
      </c>
    </row>
    <row r="13" ht="30" spans="1:8">
      <c r="C13" s="62" t="s">
        <v>169</v>
      </c>
    </row>
  </sheetData>
  <autoFilter xmlns:etc="http://www.wps.cn/officeDocument/2017/etCustomData" ref="A1:E13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opLeftCell="A16" workbookViewId="0">
      <selection activeCell="E42" sqref="E42"/>
    </sheetView>
  </sheetViews>
  <sheetFormatPr defaultColWidth="9" defaultRowHeight="15"/>
  <cols>
    <col min="1" max="1" width="17.7" style="39" customWidth="1"/>
    <col min="2" max="2" width="13.2" style="39" customWidth="1"/>
    <col min="3" max="3" width="7.2" style="39" customWidth="1"/>
    <col min="4" max="4" width="8.7" style="40" customWidth="1"/>
    <col min="5" max="6" width="10.7" customWidth="1"/>
    <col min="8" max="9" width="13.9" customWidth="1"/>
    <col min="10" max="10" width="9.2" customWidth="1"/>
    <col min="11" max="11" width="10.5" customWidth="1"/>
    <col min="12" max="12" width="10" customWidth="1"/>
  </cols>
  <sheetData>
    <row r="1" spans="1:12">
      <c r="B1" s="41" t="s">
        <v>333</v>
      </c>
      <c r="C1" s="41"/>
      <c r="D1" s="41"/>
      <c r="I1" s="41" t="s">
        <v>334</v>
      </c>
      <c r="J1" s="41"/>
    </row>
    <row r="2" spans="1:12">
      <c r="A2" s="42" t="s">
        <v>335</v>
      </c>
      <c r="B2" s="42" t="s">
        <v>336</v>
      </c>
      <c r="C2" s="42" t="s">
        <v>337</v>
      </c>
      <c r="D2" s="42" t="s">
        <v>42</v>
      </c>
      <c r="E2" s="43" t="s">
        <v>338</v>
      </c>
      <c r="F2" s="44"/>
      <c r="H2" s="42" t="s">
        <v>335</v>
      </c>
      <c r="I2" s="42" t="s">
        <v>336</v>
      </c>
      <c r="J2" s="42" t="s">
        <v>42</v>
      </c>
      <c r="K2" s="43" t="s">
        <v>338</v>
      </c>
      <c r="L2" s="44"/>
    </row>
    <row r="3" spans="1:12">
      <c r="A3" s="45" t="s">
        <v>339</v>
      </c>
      <c r="B3" s="45" t="s">
        <v>340</v>
      </c>
      <c r="C3" s="45" t="s">
        <v>341</v>
      </c>
      <c r="D3" s="46">
        <f t="shared" ref="D3:D17" si="0">LEN(C3)</f>
        <v>1</v>
      </c>
      <c r="E3" s="47" t="s">
        <v>342</v>
      </c>
      <c r="F3" s="48" t="s">
        <v>343</v>
      </c>
      <c r="G3" s="40"/>
      <c r="H3" s="49" t="s">
        <v>344</v>
      </c>
      <c r="I3" s="50" t="s">
        <v>344</v>
      </c>
      <c r="J3" s="32">
        <v>1</v>
      </c>
      <c r="K3" s="47" t="s">
        <v>342</v>
      </c>
      <c r="L3" s="48" t="s">
        <v>343</v>
      </c>
    </row>
    <row r="4" spans="1:12">
      <c r="A4" s="45" t="s">
        <v>345</v>
      </c>
      <c r="B4" s="45" t="s">
        <v>346</v>
      </c>
      <c r="C4" s="45" t="s">
        <v>347</v>
      </c>
      <c r="D4" s="46">
        <f t="shared" si="0"/>
        <v>1</v>
      </c>
      <c r="E4" s="47" t="s">
        <v>348</v>
      </c>
      <c r="F4" s="48" t="s">
        <v>349</v>
      </c>
      <c r="G4" s="40"/>
      <c r="H4" s="49" t="s">
        <v>350</v>
      </c>
      <c r="I4" s="50" t="s">
        <v>350</v>
      </c>
      <c r="J4" s="32">
        <v>1</v>
      </c>
      <c r="K4" s="47" t="s">
        <v>348</v>
      </c>
      <c r="L4" s="48" t="s">
        <v>351</v>
      </c>
    </row>
    <row r="5" spans="1:12">
      <c r="A5" s="45" t="s">
        <v>352</v>
      </c>
      <c r="B5" s="45" t="s">
        <v>353</v>
      </c>
      <c r="C5" s="45" t="s">
        <v>354</v>
      </c>
      <c r="D5" s="46">
        <f t="shared" si="0"/>
        <v>1</v>
      </c>
      <c r="E5" s="47" t="s">
        <v>355</v>
      </c>
      <c r="F5" s="48" t="s">
        <v>356</v>
      </c>
      <c r="G5" s="40"/>
      <c r="H5" s="49" t="s">
        <v>357</v>
      </c>
      <c r="I5" s="50" t="s">
        <v>357</v>
      </c>
      <c r="J5" s="32">
        <v>1</v>
      </c>
      <c r="K5" s="47" t="s">
        <v>358</v>
      </c>
      <c r="L5" s="48" t="s">
        <v>359</v>
      </c>
    </row>
    <row r="6" spans="1:12">
      <c r="A6" s="45" t="s">
        <v>360</v>
      </c>
      <c r="B6" s="45" t="s">
        <v>361</v>
      </c>
      <c r="C6" s="45" t="s">
        <v>362</v>
      </c>
      <c r="D6" s="46">
        <f t="shared" si="0"/>
        <v>1</v>
      </c>
      <c r="E6" s="47" t="s">
        <v>363</v>
      </c>
      <c r="F6" s="48" t="s">
        <v>364</v>
      </c>
      <c r="G6" s="40"/>
      <c r="H6" s="49" t="s">
        <v>365</v>
      </c>
      <c r="I6" s="50" t="s">
        <v>365</v>
      </c>
      <c r="J6" s="32">
        <v>1</v>
      </c>
      <c r="K6" s="47" t="s">
        <v>363</v>
      </c>
      <c r="L6" s="48" t="s">
        <v>366</v>
      </c>
    </row>
    <row r="7" spans="1:12">
      <c r="A7" s="45" t="s">
        <v>367</v>
      </c>
      <c r="B7" s="45" t="s">
        <v>368</v>
      </c>
      <c r="C7" s="45" t="s">
        <v>369</v>
      </c>
      <c r="D7" s="46">
        <f t="shared" si="0"/>
        <v>1</v>
      </c>
      <c r="E7" s="47" t="s">
        <v>370</v>
      </c>
      <c r="F7" s="48" t="s">
        <v>371</v>
      </c>
      <c r="G7" s="40"/>
      <c r="H7" s="51" t="s">
        <v>372</v>
      </c>
      <c r="I7" s="183" t="s">
        <v>373</v>
      </c>
      <c r="J7" s="32">
        <v>1</v>
      </c>
      <c r="K7" s="47" t="s">
        <v>374</v>
      </c>
      <c r="L7" s="48" t="s">
        <v>375</v>
      </c>
    </row>
    <row r="8" spans="1:12">
      <c r="A8" s="45" t="s">
        <v>376</v>
      </c>
      <c r="B8" s="45" t="s">
        <v>377</v>
      </c>
      <c r="C8" s="45" t="s">
        <v>378</v>
      </c>
      <c r="D8" s="46">
        <f t="shared" si="0"/>
        <v>1</v>
      </c>
      <c r="E8" s="47" t="s">
        <v>379</v>
      </c>
      <c r="F8" s="48"/>
      <c r="G8" s="40"/>
      <c r="H8" s="51" t="s">
        <v>380</v>
      </c>
      <c r="I8" s="183" t="s">
        <v>381</v>
      </c>
      <c r="J8" s="32">
        <v>1</v>
      </c>
      <c r="K8" s="47" t="s">
        <v>382</v>
      </c>
      <c r="L8" s="48"/>
    </row>
    <row r="9" spans="1:12">
      <c r="A9" s="45" t="s">
        <v>383</v>
      </c>
      <c r="B9" s="45" t="s">
        <v>384</v>
      </c>
      <c r="C9" s="45" t="s">
        <v>385</v>
      </c>
      <c r="D9" s="46">
        <f t="shared" si="0"/>
        <v>1</v>
      </c>
      <c r="E9" s="40"/>
      <c r="F9" s="40"/>
      <c r="G9" s="40"/>
      <c r="H9" s="51" t="s">
        <v>386</v>
      </c>
      <c r="I9" s="183" t="s">
        <v>387</v>
      </c>
      <c r="J9" s="32">
        <v>1</v>
      </c>
      <c r="K9" s="40"/>
      <c r="L9" s="40"/>
    </row>
    <row r="10" spans="1:12">
      <c r="A10" s="45" t="s">
        <v>388</v>
      </c>
      <c r="B10" s="45" t="s">
        <v>389</v>
      </c>
      <c r="C10" s="45" t="s">
        <v>390</v>
      </c>
      <c r="D10" s="46">
        <f t="shared" si="0"/>
        <v>1</v>
      </c>
      <c r="E10" s="40"/>
      <c r="F10" s="40"/>
      <c r="G10" s="40"/>
      <c r="H10" s="51" t="s">
        <v>391</v>
      </c>
      <c r="I10" s="183" t="s">
        <v>392</v>
      </c>
      <c r="J10" s="32">
        <v>1</v>
      </c>
      <c r="K10" s="40"/>
      <c r="L10" s="40"/>
    </row>
    <row r="11" spans="1:12">
      <c r="A11" s="45" t="s">
        <v>393</v>
      </c>
      <c r="B11" s="45" t="s">
        <v>394</v>
      </c>
      <c r="C11" s="45" t="s">
        <v>395</v>
      </c>
      <c r="D11" s="46">
        <f t="shared" si="0"/>
        <v>1</v>
      </c>
    </row>
    <row r="12" spans="1:12">
      <c r="A12" s="45" t="s">
        <v>396</v>
      </c>
      <c r="B12" s="45" t="s">
        <v>397</v>
      </c>
      <c r="C12" s="45" t="s">
        <v>398</v>
      </c>
      <c r="D12" s="46">
        <f t="shared" si="0"/>
        <v>1</v>
      </c>
    </row>
    <row r="13" spans="1:12">
      <c r="A13" s="45" t="s">
        <v>399</v>
      </c>
      <c r="B13" s="45" t="s">
        <v>400</v>
      </c>
      <c r="C13" s="45" t="s">
        <v>401</v>
      </c>
      <c r="D13" s="46">
        <f t="shared" si="0"/>
        <v>1</v>
      </c>
    </row>
    <row r="14" spans="1:12">
      <c r="A14" s="45" t="s">
        <v>402</v>
      </c>
      <c r="B14" s="45" t="s">
        <v>403</v>
      </c>
      <c r="C14" s="45" t="s">
        <v>404</v>
      </c>
      <c r="D14" s="46">
        <f t="shared" si="0"/>
        <v>1</v>
      </c>
    </row>
    <row r="15" spans="1:12">
      <c r="A15" s="45" t="s">
        <v>405</v>
      </c>
      <c r="B15" s="45" t="s">
        <v>406</v>
      </c>
      <c r="C15" s="45" t="s">
        <v>407</v>
      </c>
      <c r="D15" s="46">
        <f t="shared" si="0"/>
        <v>1</v>
      </c>
    </row>
    <row r="16" spans="1:12">
      <c r="A16" s="45" t="s">
        <v>408</v>
      </c>
      <c r="B16" s="45" t="s">
        <v>409</v>
      </c>
      <c r="C16" s="45" t="s">
        <v>410</v>
      </c>
      <c r="D16" s="46">
        <f t="shared" si="0"/>
        <v>1</v>
      </c>
    </row>
    <row r="17" spans="1:4">
      <c r="A17" s="45" t="s">
        <v>411</v>
      </c>
      <c r="B17" s="45" t="s">
        <v>412</v>
      </c>
      <c r="C17" s="45" t="s">
        <v>413</v>
      </c>
      <c r="D17" s="46">
        <f t="shared" si="0"/>
        <v>1</v>
      </c>
    </row>
    <row r="18" spans="1:4">
      <c r="A18" s="45" t="s">
        <v>414</v>
      </c>
      <c r="B18" s="45" t="s">
        <v>415</v>
      </c>
      <c r="C18" s="45" t="s">
        <v>341</v>
      </c>
      <c r="D18" s="46">
        <f t="shared" ref="D18:D59" si="1">LEN(C18)</f>
        <v>1</v>
      </c>
    </row>
    <row r="19" spans="1:4">
      <c r="A19" s="45" t="s">
        <v>416</v>
      </c>
      <c r="B19" s="45" t="s">
        <v>417</v>
      </c>
      <c r="C19" s="45" t="s">
        <v>354</v>
      </c>
      <c r="D19" s="46">
        <f t="shared" si="1"/>
        <v>1</v>
      </c>
    </row>
    <row r="20" spans="1:4">
      <c r="A20" s="45" t="s">
        <v>418</v>
      </c>
      <c r="B20" s="45" t="s">
        <v>419</v>
      </c>
      <c r="C20" s="45" t="s">
        <v>369</v>
      </c>
      <c r="D20" s="46">
        <f t="shared" si="1"/>
        <v>1</v>
      </c>
    </row>
    <row r="21" spans="1:4">
      <c r="A21" s="45" t="s">
        <v>420</v>
      </c>
      <c r="B21" s="45" t="s">
        <v>421</v>
      </c>
      <c r="C21" s="45" t="s">
        <v>404</v>
      </c>
      <c r="D21" s="46">
        <f t="shared" si="1"/>
        <v>1</v>
      </c>
    </row>
    <row r="22" spans="1:4">
      <c r="A22" s="45" t="s">
        <v>422</v>
      </c>
      <c r="B22" s="45" t="s">
        <v>423</v>
      </c>
      <c r="C22" s="45" t="s">
        <v>354</v>
      </c>
      <c r="D22" s="46">
        <f t="shared" si="1"/>
        <v>1</v>
      </c>
    </row>
    <row r="23" spans="1:4">
      <c r="A23" s="45" t="s">
        <v>424</v>
      </c>
      <c r="B23" s="45" t="s">
        <v>425</v>
      </c>
      <c r="C23" s="45" t="s">
        <v>354</v>
      </c>
      <c r="D23" s="46">
        <f t="shared" si="1"/>
        <v>1</v>
      </c>
    </row>
    <row r="24" spans="1:4">
      <c r="A24" s="53" t="s">
        <v>426</v>
      </c>
      <c r="B24" s="54" t="s">
        <v>427</v>
      </c>
      <c r="C24" s="54"/>
      <c r="D24" s="46">
        <f t="shared" si="1"/>
        <v>0</v>
      </c>
    </row>
    <row r="25" spans="1:4">
      <c r="A25" s="45" t="s">
        <v>428</v>
      </c>
      <c r="B25" s="45" t="s">
        <v>429</v>
      </c>
      <c r="C25" s="45" t="s">
        <v>430</v>
      </c>
      <c r="D25" s="46">
        <f t="shared" si="1"/>
        <v>1</v>
      </c>
    </row>
    <row r="26" spans="1:4">
      <c r="A26" s="53" t="s">
        <v>431</v>
      </c>
      <c r="B26" s="54" t="s">
        <v>432</v>
      </c>
      <c r="C26" s="54" t="s">
        <v>430</v>
      </c>
      <c r="D26" s="46">
        <f t="shared" si="1"/>
        <v>1</v>
      </c>
    </row>
    <row r="27" spans="1:4">
      <c r="A27" s="45" t="s">
        <v>433</v>
      </c>
      <c r="B27" s="45" t="s">
        <v>434</v>
      </c>
      <c r="C27" s="45" t="s">
        <v>430</v>
      </c>
      <c r="D27" s="46">
        <f t="shared" si="1"/>
        <v>1</v>
      </c>
    </row>
    <row r="28" spans="1:4">
      <c r="A28" s="45" t="s">
        <v>435</v>
      </c>
      <c r="B28" s="45" t="s">
        <v>436</v>
      </c>
      <c r="C28" s="45" t="s">
        <v>430</v>
      </c>
      <c r="D28" s="46">
        <f t="shared" si="1"/>
        <v>1</v>
      </c>
    </row>
    <row r="29" spans="1:4">
      <c r="A29" s="45" t="s">
        <v>437</v>
      </c>
      <c r="B29" s="45" t="s">
        <v>438</v>
      </c>
      <c r="C29" s="45" t="s">
        <v>430</v>
      </c>
      <c r="D29" s="46">
        <f t="shared" si="1"/>
        <v>1</v>
      </c>
    </row>
    <row r="30" spans="1:4">
      <c r="A30" s="45" t="s">
        <v>439</v>
      </c>
      <c r="B30" s="45" t="s">
        <v>440</v>
      </c>
      <c r="C30" s="45" t="s">
        <v>430</v>
      </c>
      <c r="D30" s="46">
        <f t="shared" si="1"/>
        <v>1</v>
      </c>
    </row>
    <row r="31" spans="1:4">
      <c r="A31" s="53" t="s">
        <v>441</v>
      </c>
      <c r="B31" s="54" t="s">
        <v>442</v>
      </c>
      <c r="C31" s="54" t="s">
        <v>430</v>
      </c>
      <c r="D31" s="46">
        <f t="shared" si="1"/>
        <v>1</v>
      </c>
    </row>
    <row r="32" spans="1:4">
      <c r="A32" s="45" t="s">
        <v>443</v>
      </c>
      <c r="B32" s="45" t="s">
        <v>444</v>
      </c>
      <c r="C32" s="45" t="s">
        <v>430</v>
      </c>
      <c r="D32" s="46">
        <f t="shared" si="1"/>
        <v>1</v>
      </c>
    </row>
    <row r="33" spans="1:4">
      <c r="A33" s="45" t="s">
        <v>445</v>
      </c>
      <c r="B33" s="45" t="s">
        <v>446</v>
      </c>
      <c r="C33" s="45" t="s">
        <v>430</v>
      </c>
      <c r="D33" s="46">
        <f t="shared" si="1"/>
        <v>1</v>
      </c>
    </row>
    <row r="34" spans="1:4">
      <c r="A34" s="53" t="s">
        <v>447</v>
      </c>
      <c r="B34" s="45" t="s">
        <v>448</v>
      </c>
      <c r="C34" s="54" t="s">
        <v>430</v>
      </c>
      <c r="D34" s="46">
        <f t="shared" si="1"/>
        <v>1</v>
      </c>
    </row>
    <row r="35" spans="1:4">
      <c r="A35" s="45" t="s">
        <v>449</v>
      </c>
      <c r="B35" s="45" t="s">
        <v>450</v>
      </c>
      <c r="C35" s="45" t="s">
        <v>430</v>
      </c>
      <c r="D35" s="46">
        <f t="shared" si="1"/>
        <v>1</v>
      </c>
    </row>
    <row r="36" spans="1:4">
      <c r="A36" s="53" t="s">
        <v>451</v>
      </c>
      <c r="B36" s="45" t="s">
        <v>452</v>
      </c>
      <c r="C36" s="45" t="s">
        <v>430</v>
      </c>
      <c r="D36" s="46">
        <f t="shared" si="1"/>
        <v>1</v>
      </c>
    </row>
    <row r="37" spans="1:4">
      <c r="A37" s="53" t="s">
        <v>453</v>
      </c>
      <c r="B37" s="45" t="s">
        <v>454</v>
      </c>
      <c r="C37" s="54" t="s">
        <v>430</v>
      </c>
      <c r="D37" s="46">
        <f t="shared" si="1"/>
        <v>1</v>
      </c>
    </row>
    <row r="38" spans="1:4">
      <c r="A38" s="45" t="s">
        <v>455</v>
      </c>
      <c r="B38" s="45" t="s">
        <v>456</v>
      </c>
      <c r="C38" s="45" t="s">
        <v>430</v>
      </c>
      <c r="D38" s="46">
        <f t="shared" si="1"/>
        <v>1</v>
      </c>
    </row>
    <row r="39" spans="1:4">
      <c r="A39" s="45" t="s">
        <v>457</v>
      </c>
      <c r="B39" s="45" t="s">
        <v>458</v>
      </c>
      <c r="C39" s="45" t="s">
        <v>430</v>
      </c>
      <c r="D39" s="46">
        <f t="shared" si="1"/>
        <v>1</v>
      </c>
    </row>
    <row r="40" spans="1:4">
      <c r="A40" s="45" t="s">
        <v>459</v>
      </c>
      <c r="B40" s="45" t="s">
        <v>460</v>
      </c>
      <c r="C40" s="45" t="s">
        <v>430</v>
      </c>
      <c r="D40" s="46">
        <f t="shared" si="1"/>
        <v>1</v>
      </c>
    </row>
    <row r="41" spans="1:4">
      <c r="A41" s="53" t="s">
        <v>461</v>
      </c>
      <c r="B41" s="45" t="s">
        <v>462</v>
      </c>
      <c r="C41" s="54" t="s">
        <v>430</v>
      </c>
      <c r="D41" s="46">
        <f t="shared" si="1"/>
        <v>1</v>
      </c>
    </row>
    <row r="42" spans="1:4">
      <c r="A42" s="45" t="s">
        <v>463</v>
      </c>
      <c r="B42" s="45" t="s">
        <v>464</v>
      </c>
      <c r="C42" s="45" t="s">
        <v>430</v>
      </c>
      <c r="D42" s="46">
        <f t="shared" si="1"/>
        <v>1</v>
      </c>
    </row>
    <row r="43" spans="1:4">
      <c r="A43" s="45" t="s">
        <v>465</v>
      </c>
      <c r="B43" s="45" t="s">
        <v>466</v>
      </c>
      <c r="C43" s="45" t="s">
        <v>430</v>
      </c>
      <c r="D43" s="46">
        <f t="shared" si="1"/>
        <v>1</v>
      </c>
    </row>
    <row r="44" spans="1:4">
      <c r="A44" s="45" t="s">
        <v>467</v>
      </c>
      <c r="B44" s="45" t="s">
        <v>468</v>
      </c>
      <c r="C44" s="54"/>
      <c r="D44" s="46"/>
    </row>
    <row r="45" spans="1:4">
      <c r="A45" s="45" t="s">
        <v>469</v>
      </c>
      <c r="B45" s="45" t="s">
        <v>470</v>
      </c>
      <c r="C45" s="54"/>
      <c r="D45" s="46"/>
    </row>
    <row r="46" spans="1:4">
      <c r="A46" s="45" t="s">
        <v>471</v>
      </c>
      <c r="B46" s="45" t="s">
        <v>472</v>
      </c>
      <c r="C46" s="54"/>
      <c r="D46" s="46"/>
    </row>
    <row r="47" spans="1:4">
      <c r="A47" s="45" t="s">
        <v>473</v>
      </c>
      <c r="B47" s="45" t="s">
        <v>474</v>
      </c>
      <c r="C47" s="45"/>
      <c r="D47" s="46"/>
    </row>
    <row r="48" spans="1:4">
      <c r="A48" s="45" t="s">
        <v>475</v>
      </c>
      <c r="B48" s="45" t="s">
        <v>476</v>
      </c>
      <c r="C48" s="45"/>
      <c r="D48" s="46"/>
    </row>
    <row r="49" spans="1:4">
      <c r="A49" s="45" t="s">
        <v>477</v>
      </c>
      <c r="B49" s="45" t="s">
        <v>478</v>
      </c>
      <c r="C49" s="45"/>
      <c r="D49" s="46"/>
    </row>
    <row r="50" spans="1:4">
      <c r="A50" s="45" t="s">
        <v>479</v>
      </c>
      <c r="B50" s="45" t="s">
        <v>480</v>
      </c>
      <c r="C50" s="45" t="s">
        <v>480</v>
      </c>
      <c r="D50" s="46">
        <f t="shared" si="1"/>
        <v>1</v>
      </c>
    </row>
    <row r="51" spans="1:4">
      <c r="A51" s="45" t="s">
        <v>481</v>
      </c>
      <c r="B51" s="45" t="s">
        <v>404</v>
      </c>
      <c r="C51" s="45" t="s">
        <v>404</v>
      </c>
      <c r="D51" s="46">
        <f t="shared" si="1"/>
        <v>1</v>
      </c>
    </row>
    <row r="52" spans="1:4">
      <c r="A52" s="53" t="s">
        <v>372</v>
      </c>
      <c r="B52" s="184" t="s">
        <v>373</v>
      </c>
      <c r="C52" s="54" t="s">
        <v>341</v>
      </c>
      <c r="D52" s="46">
        <f t="shared" si="1"/>
        <v>1</v>
      </c>
    </row>
    <row r="53" spans="1:4">
      <c r="A53" s="53" t="s">
        <v>380</v>
      </c>
      <c r="B53" s="184" t="s">
        <v>381</v>
      </c>
      <c r="C53" s="54" t="s">
        <v>354</v>
      </c>
      <c r="D53" s="46">
        <f t="shared" si="1"/>
        <v>1</v>
      </c>
    </row>
    <row r="54" spans="1:4">
      <c r="A54" s="53" t="s">
        <v>386</v>
      </c>
      <c r="B54" s="184" t="s">
        <v>387</v>
      </c>
      <c r="C54" s="54" t="s">
        <v>369</v>
      </c>
      <c r="D54" s="46">
        <f t="shared" si="1"/>
        <v>1</v>
      </c>
    </row>
    <row r="55" spans="1:4">
      <c r="A55" s="53" t="s">
        <v>482</v>
      </c>
      <c r="B55" s="184" t="s">
        <v>392</v>
      </c>
      <c r="C55" s="54" t="s">
        <v>430</v>
      </c>
      <c r="D55" s="46">
        <f t="shared" si="1"/>
        <v>1</v>
      </c>
    </row>
    <row r="56" spans="1:4">
      <c r="A56" s="53" t="s">
        <v>483</v>
      </c>
      <c r="B56" s="54" t="s">
        <v>484</v>
      </c>
      <c r="C56" s="54" t="s">
        <v>341</v>
      </c>
      <c r="D56" s="46">
        <f t="shared" si="1"/>
        <v>1</v>
      </c>
    </row>
    <row r="57" spans="1:4">
      <c r="A57" s="53" t="s">
        <v>485</v>
      </c>
      <c r="B57" s="54" t="s">
        <v>486</v>
      </c>
      <c r="C57" s="54" t="s">
        <v>354</v>
      </c>
      <c r="D57" s="46">
        <f t="shared" si="1"/>
        <v>1</v>
      </c>
    </row>
    <row r="58" spans="1:4">
      <c r="A58" s="53" t="s">
        <v>487</v>
      </c>
      <c r="B58" s="54" t="s">
        <v>488</v>
      </c>
      <c r="C58" s="54" t="s">
        <v>369</v>
      </c>
      <c r="D58" s="46">
        <f t="shared" si="1"/>
        <v>1</v>
      </c>
    </row>
    <row r="59" spans="1:4">
      <c r="A59" s="53" t="s">
        <v>489</v>
      </c>
      <c r="B59" s="54" t="s">
        <v>490</v>
      </c>
      <c r="C59" s="54" t="s">
        <v>404</v>
      </c>
      <c r="D59" s="46">
        <f t="shared" si="1"/>
        <v>1</v>
      </c>
    </row>
    <row r="60" spans="1:4">
      <c r="A60" s="45" t="s">
        <v>491</v>
      </c>
      <c r="B60" s="45" t="s">
        <v>492</v>
      </c>
      <c r="C60" s="45" t="s">
        <v>369</v>
      </c>
      <c r="D60" s="46">
        <v>1</v>
      </c>
    </row>
    <row r="61" spans="1:4">
      <c r="A61" s="45" t="s">
        <v>493</v>
      </c>
      <c r="B61" s="45" t="s">
        <v>494</v>
      </c>
      <c r="C61" s="45" t="s">
        <v>430</v>
      </c>
      <c r="D61" s="46">
        <v>1</v>
      </c>
    </row>
    <row r="62" spans="1:4">
      <c r="A62" s="45" t="s">
        <v>495</v>
      </c>
      <c r="B62" s="45" t="s">
        <v>496</v>
      </c>
      <c r="C62" s="45" t="s">
        <v>341</v>
      </c>
      <c r="D62" s="46">
        <v>1</v>
      </c>
    </row>
  </sheetData>
  <sheetProtection algorithmName="SHA-512" hashValue="MaArqUG4D893zf6PAbPEZk1689Exj3YpniUyGkZlOderUC5Tzc7GVB4ZlDqvFwaMnsjLIHnZyj9An8MTp6mDig==" saltValue="PsOmPjwcYOmGV4YmWgn6gQ==" spinCount="100000" sheet="1" selectLockedCells="1" selectUnlockedCells="1" objects="1" scenarios="1"/>
  <mergeCells count="2">
    <mergeCell ref="E2:F2"/>
    <mergeCell ref="K2:L2"/>
  </mergeCells>
  <conditionalFormatting sqref="A39">
    <cfRule type="duplicateValues" dxfId="0" priority="5"/>
  </conditionalFormatting>
  <conditionalFormatting sqref="A42">
    <cfRule type="duplicateValues" dxfId="0" priority="6"/>
  </conditionalFormatting>
  <conditionalFormatting sqref="A50">
    <cfRule type="duplicateValues" dxfId="0" priority="2"/>
  </conditionalFormatting>
  <conditionalFormatting sqref="A3:A34">
    <cfRule type="duplicateValues" dxfId="0" priority="8"/>
  </conditionalFormatting>
  <conditionalFormatting sqref="A3:A35">
    <cfRule type="duplicateValues" dxfId="0" priority="7"/>
  </conditionalFormatting>
  <conditionalFormatting sqref="A45:A46">
    <cfRule type="duplicateValues" dxfId="0" priority="4"/>
  </conditionalFormatting>
  <conditionalFormatting sqref="A51:A59">
    <cfRule type="duplicateValues" dxfId="0" priority="3"/>
  </conditionalFormatting>
  <conditionalFormatting sqref="H7:H10">
    <cfRule type="duplicateValues" dxfId="0" priority="1"/>
  </conditionalFormatting>
  <conditionalFormatting sqref="A37:A38 A43 A40:A41">
    <cfRule type="duplicateValues" dxfId="0" priority="10"/>
  </conditionalFormatting>
  <conditionalFormatting sqref="A44 A47:A49">
    <cfRule type="duplicateValues" dxfId="0" priority="9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75"/>
  <sheetViews>
    <sheetView zoomScale="85" zoomScaleNormal="85" workbookViewId="0">
      <pane ySplit="1" topLeftCell="A2" activePane="bottomLeft" state="frozen"/>
      <selection/>
      <selection pane="bottomLeft" activeCell="D47" sqref="D47"/>
    </sheetView>
  </sheetViews>
  <sheetFormatPr defaultColWidth="9" defaultRowHeight="15"/>
  <cols>
    <col min="1" max="1" width="24.7" customWidth="1"/>
    <col min="2" max="2" width="7.2" customWidth="1"/>
    <col min="3" max="3" width="18.5" customWidth="1"/>
    <col min="4" max="4" width="13.9" customWidth="1"/>
    <col min="5" max="5" width="11.2" customWidth="1"/>
    <col min="7" max="7" width="18" customWidth="1"/>
    <col min="8" max="8" width="16.5" customWidth="1"/>
    <col min="9" max="9" width="18" customWidth="1"/>
    <col min="10" max="10" width="10.4" customWidth="1"/>
    <col min="11" max="11" width="14.2" customWidth="1"/>
    <col min="12" max="12" width="11" customWidth="1"/>
  </cols>
  <sheetData>
    <row r="1" s="2" customFormat="1" ht="18" customHeight="1" spans="1:12">
      <c r="A1" s="28" t="s">
        <v>497</v>
      </c>
      <c r="B1" s="29"/>
      <c r="C1" s="28" t="s">
        <v>335</v>
      </c>
      <c r="D1" s="28" t="s">
        <v>336</v>
      </c>
      <c r="E1" s="28" t="s">
        <v>337</v>
      </c>
      <c r="F1" s="29"/>
      <c r="G1" s="29" t="s">
        <v>30</v>
      </c>
      <c r="H1" s="28" t="s">
        <v>336</v>
      </c>
      <c r="I1" s="29" t="s">
        <v>31</v>
      </c>
      <c r="J1" s="28" t="s">
        <v>336</v>
      </c>
      <c r="K1" s="28" t="s">
        <v>498</v>
      </c>
      <c r="L1" s="28" t="s">
        <v>336</v>
      </c>
    </row>
    <row r="2" spans="1:12">
      <c r="A2" s="30" t="s">
        <v>499</v>
      </c>
      <c r="B2" s="31"/>
      <c r="C2" s="32" t="s">
        <v>339</v>
      </c>
      <c r="D2" s="32" t="s">
        <v>340</v>
      </c>
      <c r="E2" s="32" t="s">
        <v>341</v>
      </c>
      <c r="F2" s="31"/>
      <c r="G2" s="32" t="s">
        <v>500</v>
      </c>
      <c r="H2" s="33" t="s">
        <v>501</v>
      </c>
      <c r="I2" s="34" t="s">
        <v>502</v>
      </c>
      <c r="J2" s="33" t="s">
        <v>503</v>
      </c>
      <c r="K2" s="31" t="s">
        <v>479</v>
      </c>
      <c r="L2" s="31" t="s">
        <v>480</v>
      </c>
    </row>
    <row r="3" spans="1:12">
      <c r="A3" s="30" t="s">
        <v>504</v>
      </c>
      <c r="B3" s="31"/>
      <c r="C3" s="32" t="s">
        <v>352</v>
      </c>
      <c r="D3" s="32" t="s">
        <v>353</v>
      </c>
      <c r="E3" s="32" t="s">
        <v>354</v>
      </c>
      <c r="F3" s="31"/>
      <c r="G3" s="32" t="s">
        <v>505</v>
      </c>
      <c r="H3" s="33" t="s">
        <v>506</v>
      </c>
      <c r="I3" s="34" t="s">
        <v>507</v>
      </c>
      <c r="J3" s="33" t="s">
        <v>508</v>
      </c>
      <c r="K3" s="31" t="s">
        <v>481</v>
      </c>
      <c r="L3" s="31" t="s">
        <v>404</v>
      </c>
    </row>
    <row r="4" spans="1:12">
      <c r="A4" s="30" t="s">
        <v>509</v>
      </c>
      <c r="B4" s="31"/>
      <c r="C4" s="32" t="s">
        <v>367</v>
      </c>
      <c r="D4" s="32" t="s">
        <v>368</v>
      </c>
      <c r="E4" s="32" t="s">
        <v>369</v>
      </c>
      <c r="F4" s="31"/>
      <c r="G4" s="32" t="s">
        <v>510</v>
      </c>
      <c r="H4" s="33" t="s">
        <v>511</v>
      </c>
      <c r="I4" s="32" t="s">
        <v>512</v>
      </c>
      <c r="J4" s="33" t="s">
        <v>513</v>
      </c>
      <c r="K4" s="31" t="s">
        <v>372</v>
      </c>
      <c r="L4" s="31" t="s">
        <v>373</v>
      </c>
    </row>
    <row r="5" spans="1:12">
      <c r="A5" s="30" t="s">
        <v>514</v>
      </c>
      <c r="B5" s="31"/>
      <c r="C5" s="32" t="s">
        <v>402</v>
      </c>
      <c r="D5" s="32" t="s">
        <v>403</v>
      </c>
      <c r="E5" s="32" t="s">
        <v>404</v>
      </c>
      <c r="F5" s="31"/>
      <c r="G5" s="31" t="s">
        <v>515</v>
      </c>
      <c r="H5" s="32" t="s">
        <v>516</v>
      </c>
      <c r="I5" s="32" t="s">
        <v>517</v>
      </c>
      <c r="J5" s="33" t="s">
        <v>518</v>
      </c>
      <c r="K5" s="31" t="s">
        <v>380</v>
      </c>
      <c r="L5" s="31" t="s">
        <v>381</v>
      </c>
    </row>
    <row r="6" spans="1:12">
      <c r="A6" s="30" t="s">
        <v>519</v>
      </c>
      <c r="B6" s="31"/>
      <c r="C6" s="32" t="s">
        <v>424</v>
      </c>
      <c r="D6" s="32" t="s">
        <v>425</v>
      </c>
      <c r="E6" s="32" t="s">
        <v>354</v>
      </c>
      <c r="F6" s="31"/>
      <c r="G6" s="32" t="s">
        <v>520</v>
      </c>
      <c r="H6" s="33" t="s">
        <v>521</v>
      </c>
      <c r="I6" s="32" t="s">
        <v>522</v>
      </c>
      <c r="J6" s="33" t="s">
        <v>523</v>
      </c>
      <c r="K6" s="31" t="s">
        <v>386</v>
      </c>
      <c r="L6" s="31" t="s">
        <v>387</v>
      </c>
    </row>
    <row r="7" spans="1:12">
      <c r="A7" s="30" t="s">
        <v>524</v>
      </c>
      <c r="B7" s="31"/>
      <c r="C7" s="32" t="s">
        <v>426</v>
      </c>
      <c r="D7" s="32" t="s">
        <v>427</v>
      </c>
      <c r="E7" s="32"/>
      <c r="F7" s="31"/>
      <c r="G7" s="32" t="s">
        <v>525</v>
      </c>
      <c r="H7" s="33" t="s">
        <v>526</v>
      </c>
      <c r="I7" s="32" t="s">
        <v>527</v>
      </c>
      <c r="J7" s="33" t="s">
        <v>528</v>
      </c>
      <c r="K7" s="31" t="s">
        <v>482</v>
      </c>
      <c r="L7" s="31" t="s">
        <v>392</v>
      </c>
    </row>
    <row r="8" spans="1:12">
      <c r="A8" s="32" t="s">
        <v>529</v>
      </c>
      <c r="B8" s="31"/>
      <c r="C8" s="32" t="s">
        <v>428</v>
      </c>
      <c r="D8" s="32" t="s">
        <v>429</v>
      </c>
      <c r="E8" s="32" t="s">
        <v>430</v>
      </c>
      <c r="F8" s="31"/>
      <c r="G8" s="32" t="s">
        <v>530</v>
      </c>
      <c r="H8" s="33" t="s">
        <v>531</v>
      </c>
      <c r="I8" s="32" t="s">
        <v>532</v>
      </c>
      <c r="J8" s="33" t="s">
        <v>533</v>
      </c>
      <c r="K8" s="31" t="s">
        <v>483</v>
      </c>
      <c r="L8" s="31" t="s">
        <v>484</v>
      </c>
    </row>
    <row r="9" spans="1:12">
      <c r="A9" s="31" t="s">
        <v>534</v>
      </c>
      <c r="B9" s="31"/>
      <c r="C9" s="32" t="s">
        <v>435</v>
      </c>
      <c r="D9" s="32" t="s">
        <v>436</v>
      </c>
      <c r="E9" s="32" t="s">
        <v>430</v>
      </c>
      <c r="F9" s="31"/>
      <c r="G9" s="32" t="s">
        <v>535</v>
      </c>
      <c r="H9" s="33" t="s">
        <v>536</v>
      </c>
      <c r="I9" s="32" t="s">
        <v>537</v>
      </c>
      <c r="J9" s="33" t="s">
        <v>538</v>
      </c>
      <c r="K9" s="31" t="s">
        <v>485</v>
      </c>
      <c r="L9" s="31" t="s">
        <v>486</v>
      </c>
    </row>
    <row r="10" spans="1:12">
      <c r="A10" s="31" t="s">
        <v>539</v>
      </c>
      <c r="B10" s="31"/>
      <c r="C10" s="32" t="s">
        <v>437</v>
      </c>
      <c r="D10" s="32" t="s">
        <v>438</v>
      </c>
      <c r="E10" s="32" t="s">
        <v>430</v>
      </c>
      <c r="F10" s="31"/>
      <c r="G10" s="31" t="s">
        <v>540</v>
      </c>
      <c r="H10" s="33" t="s">
        <v>541</v>
      </c>
      <c r="I10" s="32" t="s">
        <v>542</v>
      </c>
      <c r="J10" s="33" t="s">
        <v>543</v>
      </c>
      <c r="K10" s="31" t="s">
        <v>487</v>
      </c>
      <c r="L10" s="31" t="s">
        <v>488</v>
      </c>
    </row>
    <row r="11" spans="1:12">
      <c r="A11" s="30" t="s">
        <v>544</v>
      </c>
      <c r="B11" s="31"/>
      <c r="C11" s="32" t="s">
        <v>445</v>
      </c>
      <c r="D11" s="32" t="s">
        <v>446</v>
      </c>
      <c r="E11" s="32" t="s">
        <v>430</v>
      </c>
      <c r="F11" s="31"/>
      <c r="G11" s="32" t="s">
        <v>545</v>
      </c>
      <c r="H11" s="33" t="s">
        <v>546</v>
      </c>
      <c r="I11" s="32" t="s">
        <v>547</v>
      </c>
      <c r="J11" s="33" t="s">
        <v>548</v>
      </c>
      <c r="K11" s="31" t="s">
        <v>489</v>
      </c>
      <c r="L11" s="31" t="s">
        <v>490</v>
      </c>
    </row>
    <row r="12" spans="1:12">
      <c r="A12" s="30" t="s">
        <v>549</v>
      </c>
      <c r="B12" s="31"/>
      <c r="C12" s="32" t="s">
        <v>447</v>
      </c>
      <c r="D12" s="32" t="s">
        <v>448</v>
      </c>
      <c r="E12" s="32" t="s">
        <v>430</v>
      </c>
      <c r="F12" s="31"/>
      <c r="G12" s="32" t="s">
        <v>550</v>
      </c>
      <c r="H12" s="33" t="s">
        <v>551</v>
      </c>
      <c r="I12" s="32" t="s">
        <v>552</v>
      </c>
      <c r="J12" s="33" t="s">
        <v>553</v>
      </c>
      <c r="K12" s="31" t="s">
        <v>554</v>
      </c>
      <c r="L12" s="31" t="s">
        <v>344</v>
      </c>
    </row>
    <row r="13" spans="1:12">
      <c r="A13" s="30" t="s">
        <v>555</v>
      </c>
      <c r="B13" s="31"/>
      <c r="C13" s="32" t="s">
        <v>455</v>
      </c>
      <c r="D13" s="32" t="s">
        <v>456</v>
      </c>
      <c r="E13" s="32" t="s">
        <v>430</v>
      </c>
      <c r="F13" s="31"/>
      <c r="G13" s="32" t="s">
        <v>556</v>
      </c>
      <c r="H13" s="33" t="s">
        <v>557</v>
      </c>
      <c r="I13" s="32" t="s">
        <v>558</v>
      </c>
      <c r="J13" s="33" t="s">
        <v>559</v>
      </c>
      <c r="K13" s="31" t="s">
        <v>560</v>
      </c>
      <c r="L13" s="31" t="s">
        <v>350</v>
      </c>
    </row>
    <row r="14" spans="1:12">
      <c r="A14" s="30" t="s">
        <v>561</v>
      </c>
      <c r="B14" s="31"/>
      <c r="C14" s="32" t="s">
        <v>459</v>
      </c>
      <c r="D14" s="32" t="s">
        <v>460</v>
      </c>
      <c r="E14" s="32" t="s">
        <v>430</v>
      </c>
      <c r="F14" s="31"/>
      <c r="G14" s="32" t="s">
        <v>562</v>
      </c>
      <c r="H14" s="33" t="s">
        <v>563</v>
      </c>
      <c r="I14" s="32" t="s">
        <v>564</v>
      </c>
      <c r="J14" s="33" t="s">
        <v>565</v>
      </c>
      <c r="K14" s="31" t="s">
        <v>566</v>
      </c>
      <c r="L14" s="31" t="s">
        <v>365</v>
      </c>
    </row>
    <row r="15" spans="1:12">
      <c r="A15" s="30" t="s">
        <v>567</v>
      </c>
      <c r="B15" s="31"/>
      <c r="C15" s="32" t="s">
        <v>461</v>
      </c>
      <c r="D15" s="32" t="s">
        <v>462</v>
      </c>
      <c r="E15" s="32" t="s">
        <v>430</v>
      </c>
      <c r="F15" s="31"/>
      <c r="G15" s="32" t="s">
        <v>568</v>
      </c>
      <c r="H15" s="33" t="s">
        <v>569</v>
      </c>
      <c r="I15" s="32" t="s">
        <v>570</v>
      </c>
      <c r="J15" s="33" t="s">
        <v>571</v>
      </c>
      <c r="K15" s="31" t="s">
        <v>572</v>
      </c>
      <c r="L15" s="31" t="s">
        <v>357</v>
      </c>
    </row>
    <row r="16" spans="1:12">
      <c r="A16" s="30" t="s">
        <v>573</v>
      </c>
      <c r="B16" s="31"/>
      <c r="C16" s="32" t="s">
        <v>465</v>
      </c>
      <c r="D16" s="32" t="s">
        <v>466</v>
      </c>
      <c r="E16" s="32" t="s">
        <v>430</v>
      </c>
      <c r="F16" s="31"/>
      <c r="G16" s="32" t="s">
        <v>574</v>
      </c>
      <c r="H16" s="33" t="s">
        <v>575</v>
      </c>
      <c r="I16" s="32" t="s">
        <v>576</v>
      </c>
      <c r="J16" s="33" t="s">
        <v>577</v>
      </c>
      <c r="K16" s="35"/>
      <c r="L16" s="35"/>
    </row>
    <row r="17" spans="1:117">
      <c r="A17" s="30" t="s">
        <v>578</v>
      </c>
      <c r="B17" s="31"/>
      <c r="C17" s="32" t="s">
        <v>579</v>
      </c>
      <c r="D17" s="32" t="s">
        <v>468</v>
      </c>
      <c r="E17" s="32"/>
      <c r="F17" s="31"/>
      <c r="G17" s="34" t="s">
        <v>580</v>
      </c>
      <c r="H17" s="34" t="s">
        <v>581</v>
      </c>
      <c r="I17" s="32" t="s">
        <v>582</v>
      </c>
      <c r="J17" s="33" t="s">
        <v>583</v>
      </c>
      <c r="K17" s="35"/>
      <c r="L17" s="35"/>
    </row>
    <row r="18" spans="1:117">
      <c r="A18" s="30" t="s">
        <v>584</v>
      </c>
      <c r="B18" s="31"/>
      <c r="C18" s="32" t="s">
        <v>469</v>
      </c>
      <c r="D18" s="32" t="s">
        <v>470</v>
      </c>
      <c r="E18" s="32"/>
      <c r="F18" s="31"/>
      <c r="G18" s="32" t="s">
        <v>585</v>
      </c>
      <c r="H18" s="33" t="s">
        <v>586</v>
      </c>
      <c r="I18" s="32" t="s">
        <v>587</v>
      </c>
      <c r="J18" s="33" t="s">
        <v>588</v>
      </c>
      <c r="K18" s="35"/>
      <c r="L18" s="35"/>
    </row>
    <row r="19" spans="1:117">
      <c r="A19" s="30" t="s">
        <v>589</v>
      </c>
      <c r="B19" s="31"/>
      <c r="C19" s="32" t="s">
        <v>471</v>
      </c>
      <c r="D19" s="32" t="s">
        <v>472</v>
      </c>
      <c r="E19" s="32"/>
      <c r="F19" s="31"/>
      <c r="G19" s="32" t="s">
        <v>590</v>
      </c>
      <c r="H19" s="33" t="s">
        <v>591</v>
      </c>
      <c r="I19" s="32" t="s">
        <v>592</v>
      </c>
      <c r="J19" s="33" t="s">
        <v>593</v>
      </c>
      <c r="K19" s="35"/>
      <c r="L19" s="35"/>
    </row>
    <row r="20" spans="1:117">
      <c r="A20" s="30" t="s">
        <v>594</v>
      </c>
      <c r="B20" s="31"/>
      <c r="C20" s="32" t="s">
        <v>345</v>
      </c>
      <c r="D20" s="32" t="s">
        <v>346</v>
      </c>
      <c r="E20" s="32" t="s">
        <v>347</v>
      </c>
      <c r="F20" s="31"/>
      <c r="G20" s="32" t="s">
        <v>595</v>
      </c>
      <c r="H20" s="33" t="s">
        <v>596</v>
      </c>
      <c r="I20" s="32" t="s">
        <v>597</v>
      </c>
      <c r="J20" s="33" t="s">
        <v>598</v>
      </c>
      <c r="K20" s="35"/>
      <c r="L20" s="35"/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>
      <c r="A21" s="30" t="s">
        <v>599</v>
      </c>
      <c r="B21" s="31"/>
      <c r="C21" s="32" t="s">
        <v>360</v>
      </c>
      <c r="D21" s="32" t="s">
        <v>361</v>
      </c>
      <c r="E21" s="32" t="s">
        <v>362</v>
      </c>
      <c r="F21" s="31"/>
      <c r="G21" s="32" t="s">
        <v>600</v>
      </c>
      <c r="H21" s="33" t="s">
        <v>601</v>
      </c>
      <c r="I21" s="32" t="s">
        <v>602</v>
      </c>
      <c r="J21" s="33" t="s">
        <v>603</v>
      </c>
      <c r="K21" s="35"/>
      <c r="L21" s="35"/>
    </row>
    <row r="22" spans="1:117">
      <c r="A22" s="30" t="s">
        <v>604</v>
      </c>
      <c r="B22" s="31"/>
      <c r="C22" s="32" t="s">
        <v>376</v>
      </c>
      <c r="D22" s="32" t="s">
        <v>377</v>
      </c>
      <c r="E22" s="32" t="s">
        <v>378</v>
      </c>
      <c r="F22" s="31"/>
      <c r="G22" s="32" t="s">
        <v>605</v>
      </c>
      <c r="H22" s="31" t="s">
        <v>606</v>
      </c>
      <c r="I22" s="32" t="s">
        <v>607</v>
      </c>
      <c r="J22" s="33" t="s">
        <v>608</v>
      </c>
      <c r="K22" s="35"/>
      <c r="L22" s="35"/>
    </row>
    <row r="23" spans="1:117">
      <c r="A23" s="30" t="s">
        <v>609</v>
      </c>
      <c r="B23" s="31"/>
      <c r="C23" s="32" t="s">
        <v>383</v>
      </c>
      <c r="D23" s="32" t="s">
        <v>384</v>
      </c>
      <c r="E23" s="32" t="s">
        <v>385</v>
      </c>
      <c r="F23" s="31"/>
      <c r="G23" s="32" t="s">
        <v>610</v>
      </c>
      <c r="H23" s="33" t="s">
        <v>611</v>
      </c>
      <c r="I23" s="32" t="s">
        <v>612</v>
      </c>
      <c r="J23" s="33" t="s">
        <v>613</v>
      </c>
      <c r="K23" s="35"/>
      <c r="L23" s="35"/>
    </row>
    <row r="24" spans="1:117">
      <c r="A24" s="30" t="s">
        <v>614</v>
      </c>
      <c r="B24" s="31"/>
      <c r="C24" s="32" t="s">
        <v>388</v>
      </c>
      <c r="D24" s="32" t="s">
        <v>389</v>
      </c>
      <c r="E24" s="32" t="s">
        <v>390</v>
      </c>
      <c r="F24" s="31"/>
      <c r="G24" s="32" t="s">
        <v>615</v>
      </c>
      <c r="H24" s="33" t="s">
        <v>616</v>
      </c>
      <c r="I24" s="34" t="s">
        <v>617</v>
      </c>
      <c r="J24" s="33" t="s">
        <v>618</v>
      </c>
      <c r="K24" s="35"/>
      <c r="L24" s="35"/>
    </row>
    <row r="25" spans="1:117">
      <c r="A25" s="30" t="s">
        <v>619</v>
      </c>
      <c r="B25" s="31"/>
      <c r="C25" s="32" t="s">
        <v>393</v>
      </c>
      <c r="D25" s="32" t="s">
        <v>394</v>
      </c>
      <c r="E25" s="32" t="s">
        <v>395</v>
      </c>
      <c r="F25" s="31"/>
      <c r="G25" s="32" t="s">
        <v>620</v>
      </c>
      <c r="H25" s="33" t="s">
        <v>621</v>
      </c>
      <c r="I25" s="32" t="s">
        <v>622</v>
      </c>
      <c r="J25" s="33" t="s">
        <v>623</v>
      </c>
      <c r="K25" s="35"/>
      <c r="L25" s="35"/>
    </row>
    <row r="26" spans="1:117">
      <c r="A26" s="30" t="s">
        <v>624</v>
      </c>
      <c r="B26" s="31"/>
      <c r="C26" s="32" t="s">
        <v>396</v>
      </c>
      <c r="D26" s="32" t="s">
        <v>397</v>
      </c>
      <c r="E26" s="32" t="s">
        <v>398</v>
      </c>
      <c r="F26" s="31"/>
      <c r="G26" s="32" t="s">
        <v>625</v>
      </c>
      <c r="H26" s="33" t="s">
        <v>626</v>
      </c>
      <c r="I26" s="32" t="s">
        <v>627</v>
      </c>
      <c r="J26" s="34" t="s">
        <v>628</v>
      </c>
      <c r="K26" s="35"/>
      <c r="L26" s="35"/>
    </row>
    <row r="27" spans="1:117">
      <c r="A27" s="30" t="s">
        <v>629</v>
      </c>
      <c r="B27" s="31"/>
      <c r="C27" s="32" t="s">
        <v>399</v>
      </c>
      <c r="D27" s="32" t="s">
        <v>400</v>
      </c>
      <c r="E27" s="32" t="s">
        <v>401</v>
      </c>
      <c r="F27" s="31"/>
      <c r="G27" s="32" t="s">
        <v>630</v>
      </c>
      <c r="H27" s="33" t="s">
        <v>631</v>
      </c>
      <c r="I27" s="32" t="s">
        <v>632</v>
      </c>
      <c r="J27" s="33" t="s">
        <v>633</v>
      </c>
      <c r="K27" s="35"/>
      <c r="L27" s="35"/>
    </row>
    <row r="28" spans="1:117">
      <c r="A28" s="30" t="s">
        <v>634</v>
      </c>
      <c r="B28" s="31"/>
      <c r="C28" s="32" t="s">
        <v>405</v>
      </c>
      <c r="D28" s="32" t="s">
        <v>406</v>
      </c>
      <c r="E28" s="32" t="s">
        <v>407</v>
      </c>
      <c r="F28" s="31"/>
      <c r="G28" s="31" t="s">
        <v>635</v>
      </c>
      <c r="H28" s="33" t="s">
        <v>636</v>
      </c>
      <c r="I28" s="32" t="s">
        <v>637</v>
      </c>
      <c r="J28" s="33" t="s">
        <v>638</v>
      </c>
      <c r="K28" s="35"/>
      <c r="L28" s="35"/>
    </row>
    <row r="29" spans="1:117">
      <c r="A29" s="30" t="s">
        <v>639</v>
      </c>
      <c r="B29" s="31"/>
      <c r="C29" s="32" t="s">
        <v>408</v>
      </c>
      <c r="D29" s="32" t="s">
        <v>409</v>
      </c>
      <c r="E29" s="32" t="s">
        <v>410</v>
      </c>
      <c r="F29" s="31"/>
      <c r="G29" s="32" t="s">
        <v>640</v>
      </c>
      <c r="H29" s="33" t="s">
        <v>641</v>
      </c>
      <c r="I29" s="32" t="s">
        <v>642</v>
      </c>
      <c r="J29" s="33" t="s">
        <v>643</v>
      </c>
    </row>
    <row r="30" spans="1:117">
      <c r="A30" s="30" t="s">
        <v>644</v>
      </c>
      <c r="B30" s="31"/>
      <c r="C30" s="32" t="s">
        <v>411</v>
      </c>
      <c r="D30" s="32" t="s">
        <v>412</v>
      </c>
      <c r="E30" s="32" t="s">
        <v>413</v>
      </c>
      <c r="F30" s="31"/>
      <c r="G30" s="32" t="s">
        <v>645</v>
      </c>
      <c r="H30" s="33" t="s">
        <v>646</v>
      </c>
      <c r="I30" s="32" t="s">
        <v>647</v>
      </c>
      <c r="J30" s="33" t="s">
        <v>648</v>
      </c>
    </row>
    <row r="31" spans="1:117">
      <c r="A31" s="30" t="s">
        <v>649</v>
      </c>
      <c r="B31" s="31"/>
      <c r="C31" s="32" t="s">
        <v>414</v>
      </c>
      <c r="D31" s="32" t="s">
        <v>650</v>
      </c>
      <c r="E31" s="32" t="s">
        <v>341</v>
      </c>
      <c r="F31" s="31"/>
      <c r="G31" s="32" t="s">
        <v>651</v>
      </c>
      <c r="H31" s="33" t="s">
        <v>652</v>
      </c>
      <c r="I31" s="32" t="s">
        <v>653</v>
      </c>
      <c r="J31" s="33" t="s">
        <v>654</v>
      </c>
    </row>
    <row r="32" spans="1:117">
      <c r="A32" s="30" t="s">
        <v>655</v>
      </c>
      <c r="B32" s="31"/>
      <c r="C32" s="32" t="s">
        <v>416</v>
      </c>
      <c r="D32" s="32" t="s">
        <v>656</v>
      </c>
      <c r="E32" s="32" t="s">
        <v>354</v>
      </c>
      <c r="F32" s="31"/>
      <c r="G32" s="32" t="s">
        <v>657</v>
      </c>
      <c r="H32" s="33" t="s">
        <v>658</v>
      </c>
      <c r="I32" s="32" t="s">
        <v>659</v>
      </c>
      <c r="J32" s="33" t="s">
        <v>660</v>
      </c>
    </row>
    <row r="33" spans="1:12">
      <c r="A33" s="30" t="s">
        <v>661</v>
      </c>
      <c r="B33" s="31"/>
      <c r="C33" s="32" t="s">
        <v>418</v>
      </c>
      <c r="D33" s="32" t="s">
        <v>662</v>
      </c>
      <c r="E33" s="32" t="s">
        <v>369</v>
      </c>
      <c r="F33" s="31"/>
      <c r="G33" s="31" t="s">
        <v>663</v>
      </c>
      <c r="H33" s="33" t="s">
        <v>664</v>
      </c>
      <c r="I33" s="32" t="s">
        <v>665</v>
      </c>
      <c r="J33" s="33" t="s">
        <v>666</v>
      </c>
    </row>
    <row r="34" spans="1:12">
      <c r="A34" s="30" t="s">
        <v>667</v>
      </c>
      <c r="B34" s="31"/>
      <c r="C34" s="32" t="s">
        <v>420</v>
      </c>
      <c r="D34" s="32" t="s">
        <v>668</v>
      </c>
      <c r="E34" s="32" t="s">
        <v>404</v>
      </c>
      <c r="F34" s="31"/>
      <c r="G34" s="32" t="s">
        <v>669</v>
      </c>
      <c r="H34" s="33" t="s">
        <v>670</v>
      </c>
      <c r="I34" s="34" t="s">
        <v>671</v>
      </c>
      <c r="J34" s="33" t="s">
        <v>672</v>
      </c>
    </row>
    <row r="35" spans="1:12">
      <c r="A35" s="30" t="s">
        <v>673</v>
      </c>
      <c r="B35" s="31"/>
      <c r="C35" s="32" t="s">
        <v>422</v>
      </c>
      <c r="D35" s="32" t="s">
        <v>423</v>
      </c>
      <c r="E35" s="32" t="s">
        <v>354</v>
      </c>
      <c r="F35" s="31"/>
      <c r="G35" s="31" t="s">
        <v>674</v>
      </c>
      <c r="H35" s="31" t="s">
        <v>675</v>
      </c>
      <c r="I35" s="32" t="s">
        <v>676</v>
      </c>
      <c r="J35" s="33" t="s">
        <v>677</v>
      </c>
    </row>
    <row r="36" spans="1:12">
      <c r="A36" s="30" t="s">
        <v>678</v>
      </c>
      <c r="B36" s="31"/>
      <c r="C36" s="32" t="s">
        <v>431</v>
      </c>
      <c r="D36" s="32" t="s">
        <v>432</v>
      </c>
      <c r="E36" s="32" t="s">
        <v>430</v>
      </c>
      <c r="F36" s="31"/>
      <c r="G36" s="31" t="s">
        <v>679</v>
      </c>
      <c r="H36" s="31" t="s">
        <v>680</v>
      </c>
      <c r="I36" s="32" t="s">
        <v>681</v>
      </c>
      <c r="J36" s="33" t="s">
        <v>682</v>
      </c>
    </row>
    <row r="37" spans="1:12">
      <c r="A37" s="30" t="s">
        <v>683</v>
      </c>
      <c r="B37" s="31"/>
      <c r="C37" s="32" t="s">
        <v>433</v>
      </c>
      <c r="D37" s="32" t="s">
        <v>684</v>
      </c>
      <c r="E37" s="32" t="s">
        <v>430</v>
      </c>
      <c r="F37" s="31"/>
      <c r="G37" s="31" t="s">
        <v>685</v>
      </c>
      <c r="H37" s="31" t="s">
        <v>686</v>
      </c>
      <c r="I37" s="32" t="s">
        <v>687</v>
      </c>
      <c r="J37" s="33" t="s">
        <v>688</v>
      </c>
    </row>
    <row r="38" spans="1:12">
      <c r="A38" s="30" t="s">
        <v>689</v>
      </c>
      <c r="B38" s="31"/>
      <c r="C38" s="32" t="s">
        <v>439</v>
      </c>
      <c r="D38" s="32" t="s">
        <v>440</v>
      </c>
      <c r="E38" s="32" t="s">
        <v>430</v>
      </c>
      <c r="F38" s="31"/>
      <c r="G38" s="31" t="s">
        <v>690</v>
      </c>
      <c r="H38" s="31" t="s">
        <v>691</v>
      </c>
      <c r="I38" s="32" t="s">
        <v>692</v>
      </c>
      <c r="J38" s="33" t="s">
        <v>693</v>
      </c>
    </row>
    <row r="39" spans="1:12">
      <c r="A39" s="30" t="s">
        <v>694</v>
      </c>
      <c r="B39" s="31"/>
      <c r="C39" s="32" t="s">
        <v>441</v>
      </c>
      <c r="D39" s="32" t="s">
        <v>442</v>
      </c>
      <c r="E39" s="32" t="s">
        <v>430</v>
      </c>
      <c r="F39" s="36"/>
      <c r="G39" s="31" t="s">
        <v>695</v>
      </c>
      <c r="H39" s="31" t="s">
        <v>696</v>
      </c>
      <c r="I39" s="32" t="s">
        <v>697</v>
      </c>
      <c r="J39" s="33" t="s">
        <v>698</v>
      </c>
    </row>
    <row r="40" spans="1:12">
      <c r="A40" s="30" t="s">
        <v>699</v>
      </c>
      <c r="B40" s="31"/>
      <c r="C40" s="32" t="s">
        <v>443</v>
      </c>
      <c r="D40" s="32" t="s">
        <v>444</v>
      </c>
      <c r="E40" s="32" t="s">
        <v>430</v>
      </c>
      <c r="F40" s="31"/>
      <c r="G40" s="31" t="s">
        <v>700</v>
      </c>
      <c r="H40" s="31" t="s">
        <v>701</v>
      </c>
      <c r="I40" s="31" t="s">
        <v>702</v>
      </c>
      <c r="J40" s="31" t="s">
        <v>703</v>
      </c>
    </row>
    <row r="41" spans="1:12">
      <c r="A41" s="30" t="s">
        <v>704</v>
      </c>
      <c r="B41" s="31"/>
      <c r="C41" s="32" t="s">
        <v>449</v>
      </c>
      <c r="D41" s="32" t="s">
        <v>450</v>
      </c>
      <c r="E41" s="32" t="s">
        <v>430</v>
      </c>
      <c r="F41" s="31"/>
      <c r="G41" s="31" t="s">
        <v>705</v>
      </c>
      <c r="H41" s="31" t="s">
        <v>706</v>
      </c>
      <c r="I41" s="31" t="s">
        <v>707</v>
      </c>
      <c r="J41" s="31" t="s">
        <v>708</v>
      </c>
    </row>
    <row r="42" spans="1:12">
      <c r="A42" s="30" t="s">
        <v>709</v>
      </c>
      <c r="B42" s="31"/>
      <c r="C42" s="32" t="s">
        <v>451</v>
      </c>
      <c r="D42" s="32" t="s">
        <v>452</v>
      </c>
      <c r="E42" s="32" t="s">
        <v>430</v>
      </c>
      <c r="F42" s="31"/>
      <c r="G42" s="31" t="s">
        <v>710</v>
      </c>
      <c r="H42" s="31" t="s">
        <v>711</v>
      </c>
      <c r="I42" s="31" t="s">
        <v>712</v>
      </c>
      <c r="J42" s="31" t="s">
        <v>713</v>
      </c>
    </row>
    <row r="43" spans="1:12">
      <c r="A43" s="30" t="s">
        <v>714</v>
      </c>
      <c r="B43" s="31"/>
      <c r="C43" s="32" t="s">
        <v>453</v>
      </c>
      <c r="D43" s="32" t="s">
        <v>454</v>
      </c>
      <c r="E43" s="32" t="s">
        <v>430</v>
      </c>
      <c r="F43" s="31"/>
      <c r="G43" s="31" t="s">
        <v>715</v>
      </c>
      <c r="H43" s="31" t="s">
        <v>716</v>
      </c>
      <c r="I43" s="31" t="s">
        <v>717</v>
      </c>
      <c r="J43" s="31" t="s">
        <v>718</v>
      </c>
    </row>
    <row r="44" spans="1:12">
      <c r="A44" s="30" t="s">
        <v>719</v>
      </c>
      <c r="B44" s="31"/>
      <c r="C44" s="32" t="s">
        <v>457</v>
      </c>
      <c r="D44" s="32" t="s">
        <v>458</v>
      </c>
      <c r="E44" s="32" t="s">
        <v>430</v>
      </c>
      <c r="F44" s="31"/>
      <c r="G44" s="31" t="s">
        <v>720</v>
      </c>
      <c r="H44" s="31" t="s">
        <v>721</v>
      </c>
      <c r="I44" s="31" t="s">
        <v>722</v>
      </c>
      <c r="J44" s="31" t="s">
        <v>723</v>
      </c>
      <c r="K44" s="35"/>
      <c r="L44" s="35"/>
    </row>
    <row r="45" spans="1:12">
      <c r="A45" s="30" t="s">
        <v>724</v>
      </c>
      <c r="B45" s="31"/>
      <c r="C45" s="32" t="s">
        <v>463</v>
      </c>
      <c r="D45" s="32" t="s">
        <v>464</v>
      </c>
      <c r="E45" s="32" t="s">
        <v>430</v>
      </c>
      <c r="F45" s="31"/>
      <c r="G45" s="31" t="s">
        <v>725</v>
      </c>
      <c r="H45" s="31" t="s">
        <v>726</v>
      </c>
      <c r="I45" s="31" t="s">
        <v>727</v>
      </c>
      <c r="J45" s="31" t="s">
        <v>728</v>
      </c>
      <c r="K45" s="35"/>
      <c r="L45" s="35"/>
    </row>
    <row r="46" spans="1:12">
      <c r="A46" s="30" t="s">
        <v>729</v>
      </c>
      <c r="B46" s="31"/>
      <c r="C46" s="32" t="s">
        <v>730</v>
      </c>
      <c r="D46" s="32" t="s">
        <v>474</v>
      </c>
      <c r="E46" s="32"/>
      <c r="F46" s="31"/>
      <c r="G46" s="31" t="s">
        <v>731</v>
      </c>
      <c r="H46" s="31" t="s">
        <v>732</v>
      </c>
      <c r="I46" s="31"/>
      <c r="J46" s="31"/>
      <c r="K46" s="35"/>
      <c r="L46" s="35"/>
    </row>
    <row r="47" spans="1:12">
      <c r="A47" s="30" t="s">
        <v>733</v>
      </c>
      <c r="B47" s="31"/>
      <c r="C47" s="32" t="s">
        <v>734</v>
      </c>
      <c r="D47" s="32" t="s">
        <v>476</v>
      </c>
      <c r="E47" s="32"/>
      <c r="F47" s="31"/>
      <c r="G47" s="31" t="s">
        <v>735</v>
      </c>
      <c r="H47" s="31" t="s">
        <v>736</v>
      </c>
      <c r="I47" s="31"/>
      <c r="J47" s="31"/>
      <c r="K47" s="35"/>
      <c r="L47" s="35"/>
    </row>
    <row r="48" spans="1:12">
      <c r="A48" s="30" t="s">
        <v>737</v>
      </c>
      <c r="B48" s="31"/>
      <c r="C48" s="32" t="s">
        <v>738</v>
      </c>
      <c r="D48" s="32" t="s">
        <v>478</v>
      </c>
      <c r="E48" s="32"/>
      <c r="F48" s="31"/>
      <c r="G48" s="31" t="s">
        <v>739</v>
      </c>
      <c r="H48" s="31" t="s">
        <v>740</v>
      </c>
      <c r="I48" s="31"/>
      <c r="J48" s="31"/>
      <c r="K48" s="35"/>
      <c r="L48" s="35"/>
    </row>
    <row r="49" spans="1:12">
      <c r="A49" s="30" t="s">
        <v>741</v>
      </c>
      <c r="B49" s="31"/>
      <c r="C49" s="32" t="s">
        <v>479</v>
      </c>
      <c r="D49" s="32" t="s">
        <v>480</v>
      </c>
      <c r="E49" s="32" t="s">
        <v>480</v>
      </c>
      <c r="F49" s="31"/>
      <c r="G49" s="31" t="s">
        <v>742</v>
      </c>
      <c r="H49" s="31" t="s">
        <v>743</v>
      </c>
      <c r="I49" s="31"/>
      <c r="J49" s="31"/>
      <c r="K49" s="35"/>
      <c r="L49" s="35"/>
    </row>
    <row r="50" spans="1:12">
      <c r="A50" s="30" t="s">
        <v>744</v>
      </c>
      <c r="B50" s="31"/>
      <c r="C50" s="32" t="s">
        <v>481</v>
      </c>
      <c r="D50" s="32" t="s">
        <v>404</v>
      </c>
      <c r="E50" s="32" t="s">
        <v>404</v>
      </c>
      <c r="F50" s="31"/>
      <c r="G50" s="31" t="s">
        <v>745</v>
      </c>
      <c r="H50" s="31" t="s">
        <v>746</v>
      </c>
      <c r="I50" s="31"/>
      <c r="J50" s="31"/>
      <c r="K50" s="35"/>
      <c r="L50" s="35"/>
    </row>
    <row r="51" spans="1:12">
      <c r="A51" s="30" t="s">
        <v>747</v>
      </c>
      <c r="B51" s="31"/>
      <c r="C51" s="32" t="s">
        <v>372</v>
      </c>
      <c r="D51" s="32" t="s">
        <v>373</v>
      </c>
      <c r="E51" s="32" t="s">
        <v>341</v>
      </c>
      <c r="F51" s="31"/>
      <c r="G51" s="31" t="s">
        <v>748</v>
      </c>
      <c r="H51" s="31" t="s">
        <v>749</v>
      </c>
      <c r="I51" s="31"/>
      <c r="J51" s="31"/>
      <c r="K51" s="35"/>
      <c r="L51" s="35"/>
    </row>
    <row r="52" spans="1:12">
      <c r="A52" s="30" t="s">
        <v>750</v>
      </c>
      <c r="B52" s="31"/>
      <c r="C52" s="32" t="s">
        <v>380</v>
      </c>
      <c r="D52" s="32" t="s">
        <v>381</v>
      </c>
      <c r="E52" s="32" t="s">
        <v>354</v>
      </c>
      <c r="F52" s="31"/>
      <c r="G52" s="31" t="s">
        <v>751</v>
      </c>
      <c r="H52" s="31" t="s">
        <v>752</v>
      </c>
      <c r="I52" s="31"/>
      <c r="J52" s="31"/>
      <c r="K52" s="35"/>
      <c r="L52" s="35"/>
    </row>
    <row r="53" spans="1:12">
      <c r="A53" s="30" t="s">
        <v>753</v>
      </c>
      <c r="B53" s="31"/>
      <c r="C53" s="32" t="s">
        <v>386</v>
      </c>
      <c r="D53" s="32" t="s">
        <v>387</v>
      </c>
      <c r="E53" s="32" t="s">
        <v>369</v>
      </c>
      <c r="F53" s="31"/>
      <c r="G53" s="31"/>
      <c r="H53" s="31"/>
      <c r="I53" s="31"/>
      <c r="J53" s="31"/>
      <c r="K53" s="35"/>
      <c r="L53" s="35"/>
    </row>
    <row r="54" spans="1:12">
      <c r="A54" s="30" t="s">
        <v>754</v>
      </c>
      <c r="B54" s="31"/>
      <c r="C54" s="32" t="s">
        <v>482</v>
      </c>
      <c r="D54" s="32" t="s">
        <v>392</v>
      </c>
      <c r="E54" s="32" t="s">
        <v>430</v>
      </c>
      <c r="F54" s="31"/>
      <c r="G54" s="31"/>
      <c r="H54" s="31"/>
      <c r="I54" s="31"/>
      <c r="J54" s="31"/>
      <c r="K54" s="35"/>
      <c r="L54" s="35"/>
    </row>
    <row r="55" spans="1:12">
      <c r="A55" s="30" t="s">
        <v>755</v>
      </c>
      <c r="B55" s="31"/>
      <c r="C55" s="32" t="s">
        <v>483</v>
      </c>
      <c r="D55" s="32" t="s">
        <v>484</v>
      </c>
      <c r="E55" s="32" t="s">
        <v>341</v>
      </c>
      <c r="F55" s="31"/>
      <c r="G55" s="31"/>
      <c r="H55" s="31"/>
      <c r="I55" s="31"/>
      <c r="J55" s="31"/>
      <c r="K55" s="35"/>
      <c r="L55" s="35"/>
    </row>
    <row r="56" spans="1:12">
      <c r="A56" s="30" t="s">
        <v>756</v>
      </c>
      <c r="B56" s="31"/>
      <c r="C56" s="32" t="s">
        <v>485</v>
      </c>
      <c r="D56" s="32" t="s">
        <v>486</v>
      </c>
      <c r="E56" s="32" t="s">
        <v>354</v>
      </c>
      <c r="F56" s="31"/>
      <c r="G56" s="31"/>
      <c r="H56" s="31"/>
      <c r="I56" s="31"/>
      <c r="J56" s="31"/>
      <c r="K56" s="35"/>
      <c r="L56" s="35"/>
    </row>
    <row r="57" spans="1:12">
      <c r="A57" s="30" t="s">
        <v>757</v>
      </c>
      <c r="B57" s="31"/>
      <c r="C57" s="32" t="s">
        <v>487</v>
      </c>
      <c r="D57" s="32" t="s">
        <v>488</v>
      </c>
      <c r="E57" s="32" t="s">
        <v>369</v>
      </c>
      <c r="F57" s="31"/>
      <c r="G57" s="31"/>
      <c r="H57" s="31"/>
      <c r="I57" s="31"/>
      <c r="J57" s="31"/>
      <c r="K57" s="35"/>
      <c r="L57" s="35"/>
    </row>
    <row r="58" spans="1:12">
      <c r="A58" s="30" t="s">
        <v>758</v>
      </c>
      <c r="B58" s="31"/>
      <c r="C58" s="32" t="s">
        <v>489</v>
      </c>
      <c r="D58" s="32" t="s">
        <v>490</v>
      </c>
      <c r="E58" s="32" t="s">
        <v>404</v>
      </c>
      <c r="F58" s="31"/>
      <c r="G58" s="31"/>
      <c r="H58" s="31"/>
      <c r="I58" s="31"/>
      <c r="J58" s="31"/>
      <c r="K58" s="35"/>
      <c r="L58" s="35"/>
    </row>
    <row r="59" spans="1:12">
      <c r="A59" s="30" t="s">
        <v>759</v>
      </c>
      <c r="B59" s="31"/>
      <c r="C59" s="32" t="s">
        <v>491</v>
      </c>
      <c r="D59" s="37" t="s">
        <v>760</v>
      </c>
      <c r="E59" s="32" t="s">
        <v>369</v>
      </c>
      <c r="F59" s="31"/>
      <c r="G59" s="31"/>
      <c r="H59" s="31"/>
      <c r="I59" s="31"/>
      <c r="J59" s="31"/>
      <c r="K59" s="35"/>
      <c r="L59" s="35"/>
    </row>
    <row r="60" spans="1:12">
      <c r="A60" s="30" t="s">
        <v>761</v>
      </c>
      <c r="B60" s="31"/>
      <c r="C60" s="32" t="s">
        <v>762</v>
      </c>
      <c r="D60" s="32" t="s">
        <v>494</v>
      </c>
      <c r="E60" s="32" t="s">
        <v>430</v>
      </c>
      <c r="F60" s="31"/>
      <c r="G60" s="31"/>
      <c r="H60" s="31"/>
      <c r="I60" s="31"/>
      <c r="J60" s="31"/>
      <c r="K60" s="35"/>
      <c r="L60" s="35"/>
    </row>
    <row r="61" spans="1:12">
      <c r="A61" s="30" t="s">
        <v>763</v>
      </c>
      <c r="B61" s="31"/>
      <c r="C61" s="32" t="s">
        <v>495</v>
      </c>
      <c r="D61" s="32" t="s">
        <v>764</v>
      </c>
      <c r="E61" s="32" t="s">
        <v>341</v>
      </c>
      <c r="F61" s="31"/>
      <c r="G61" s="31"/>
      <c r="H61" s="31"/>
      <c r="I61" s="31"/>
      <c r="J61" s="31"/>
      <c r="K61" s="35"/>
      <c r="L61" s="35"/>
    </row>
    <row r="62" spans="1:12">
      <c r="A62" s="30" t="s">
        <v>765</v>
      </c>
      <c r="B62" s="31"/>
      <c r="C62" s="32" t="s">
        <v>766</v>
      </c>
      <c r="D62" s="32" t="s">
        <v>767</v>
      </c>
      <c r="E62" s="32"/>
      <c r="F62" s="31"/>
      <c r="G62" s="31"/>
      <c r="H62" s="31"/>
      <c r="I62" s="31"/>
      <c r="J62" s="31"/>
      <c r="K62" s="35"/>
      <c r="L62" s="35"/>
    </row>
    <row r="63" spans="1:12">
      <c r="A63" s="30" t="s">
        <v>768</v>
      </c>
      <c r="B63" s="31"/>
      <c r="C63" s="32" t="s">
        <v>769</v>
      </c>
      <c r="D63" s="32" t="s">
        <v>770</v>
      </c>
      <c r="E63" s="32"/>
      <c r="F63" s="31"/>
      <c r="G63" s="31"/>
      <c r="H63" s="31"/>
      <c r="I63" s="31"/>
      <c r="J63" s="31"/>
      <c r="K63" s="35"/>
      <c r="L63" s="35"/>
    </row>
    <row r="64" spans="1:12">
      <c r="A64" s="30" t="s">
        <v>771</v>
      </c>
      <c r="B64" s="31"/>
      <c r="C64" s="32" t="s">
        <v>772</v>
      </c>
      <c r="D64" s="32" t="s">
        <v>773</v>
      </c>
      <c r="E64" s="32"/>
      <c r="F64" s="31"/>
      <c r="G64" s="31"/>
      <c r="H64" s="31"/>
      <c r="I64" s="31"/>
      <c r="J64" s="31"/>
      <c r="K64" s="35"/>
      <c r="L64" s="35"/>
    </row>
    <row r="65" spans="1:12">
      <c r="A65" s="30" t="s">
        <v>774</v>
      </c>
      <c r="B65" s="31"/>
      <c r="C65" s="32" t="s">
        <v>775</v>
      </c>
      <c r="D65" s="32" t="s">
        <v>776</v>
      </c>
      <c r="E65" s="32"/>
      <c r="F65" s="31"/>
      <c r="G65" s="31"/>
      <c r="H65" s="31"/>
      <c r="I65" s="31"/>
      <c r="J65" s="31"/>
      <c r="K65" s="35"/>
      <c r="L65" s="35"/>
    </row>
    <row r="66" spans="1:12">
      <c r="A66" s="30" t="s">
        <v>777</v>
      </c>
      <c r="B66" s="31"/>
      <c r="C66" s="32" t="s">
        <v>778</v>
      </c>
      <c r="D66" s="32" t="s">
        <v>779</v>
      </c>
      <c r="E66" s="38" t="s">
        <v>430</v>
      </c>
      <c r="F66" s="31"/>
      <c r="G66" s="31"/>
      <c r="H66" s="31"/>
      <c r="I66" s="31"/>
      <c r="J66" s="31"/>
      <c r="K66" s="35"/>
      <c r="L66" s="35"/>
    </row>
    <row r="67" spans="1:12">
      <c r="A67" s="30" t="s">
        <v>780</v>
      </c>
      <c r="B67" s="31"/>
      <c r="C67" s="32" t="s">
        <v>781</v>
      </c>
      <c r="D67" s="32" t="s">
        <v>782</v>
      </c>
      <c r="E67" s="38" t="s">
        <v>430</v>
      </c>
      <c r="F67" s="31"/>
      <c r="G67" s="31"/>
      <c r="H67" s="31"/>
      <c r="I67" s="31"/>
      <c r="J67" s="31"/>
      <c r="K67" s="35"/>
      <c r="L67" s="35"/>
    </row>
    <row r="68" spans="1:12">
      <c r="A68" s="30" t="s">
        <v>783</v>
      </c>
      <c r="B68" s="31"/>
      <c r="C68" s="32" t="s">
        <v>784</v>
      </c>
      <c r="D68" s="32" t="s">
        <v>785</v>
      </c>
      <c r="E68" s="32"/>
      <c r="F68" s="31"/>
      <c r="G68" s="31"/>
      <c r="H68" s="31"/>
      <c r="I68" s="31"/>
      <c r="J68" s="31"/>
      <c r="K68" s="35"/>
      <c r="L68" s="35"/>
    </row>
    <row r="69" spans="1:12">
      <c r="A69" s="32" t="s">
        <v>786</v>
      </c>
      <c r="B69" s="31"/>
      <c r="C69" s="32" t="s">
        <v>787</v>
      </c>
      <c r="D69" s="32" t="s">
        <v>788</v>
      </c>
      <c r="E69" s="38" t="s">
        <v>430</v>
      </c>
      <c r="F69" s="31"/>
      <c r="G69" s="31"/>
      <c r="H69" s="31"/>
      <c r="I69" s="38"/>
      <c r="J69" s="38"/>
      <c r="K69" s="35"/>
      <c r="L69" s="35"/>
    </row>
    <row r="70" spans="1:12">
      <c r="A70" s="30" t="s">
        <v>789</v>
      </c>
      <c r="B70" s="31"/>
      <c r="C70" s="32" t="s">
        <v>790</v>
      </c>
      <c r="D70" s="32" t="s">
        <v>791</v>
      </c>
      <c r="E70" s="32"/>
      <c r="F70" s="31"/>
      <c r="G70" s="31"/>
      <c r="H70" s="31"/>
      <c r="K70" s="35"/>
      <c r="L70" s="35"/>
    </row>
    <row r="71" spans="1:12">
      <c r="A71" s="30" t="s">
        <v>792</v>
      </c>
      <c r="B71" s="31"/>
      <c r="C71" s="31"/>
      <c r="D71" s="31"/>
      <c r="E71" s="31"/>
      <c r="F71" s="31"/>
      <c r="K71" s="35"/>
      <c r="L71" s="35"/>
    </row>
    <row r="72" spans="1:12">
      <c r="A72" s="30" t="s">
        <v>793</v>
      </c>
    </row>
    <row r="73" spans="1:12">
      <c r="A73" s="32" t="s">
        <v>794</v>
      </c>
    </row>
    <row r="74" spans="1:12">
      <c r="A74" s="32" t="s">
        <v>795</v>
      </c>
    </row>
    <row r="75" spans="1:12">
      <c r="A75" s="32" t="s">
        <v>796</v>
      </c>
    </row>
  </sheetData>
  <sheetProtection algorithmName="SHA-512" hashValue="rpS2HwRsTZP96ufYX1+sZS9e4tGHZFjwqsXP0cMYvbWUfqQ/daiwVQyO+JHdbn8tBDS0WUxv5r9vbdJGfrtUkw==" saltValue="d2tTJ9wqn/wP+EFk1eZY8w==" spinCount="100000" sheet="1" objects="1" scenarios="1"/>
  <sortState ref="F2:H35">
    <sortCondition ref="F2:F35"/>
    <sortCondition ref="G2:G35"/>
  </sortState>
  <conditionalFormatting sqref="C1">
    <cfRule type="duplicateValues" dxfId="1" priority="8"/>
  </conditionalFormatting>
  <conditionalFormatting sqref="G17">
    <cfRule type="duplicateValues" dxfId="1" priority="12"/>
  </conditionalFormatting>
  <conditionalFormatting sqref="H17">
    <cfRule type="duplicateValues" dxfId="1" priority="11"/>
  </conditionalFormatting>
  <conditionalFormatting sqref="I34">
    <cfRule type="duplicateValues" dxfId="1" priority="9"/>
  </conditionalFormatting>
  <conditionalFormatting sqref="A70">
    <cfRule type="duplicateValues" dxfId="1" priority="2"/>
  </conditionalFormatting>
  <conditionalFormatting sqref="A2:A68">
    <cfRule type="duplicateValues" dxfId="1" priority="4"/>
  </conditionalFormatting>
  <conditionalFormatting sqref="A71:A72">
    <cfRule type="duplicateValues" dxfId="1" priority="1"/>
  </conditionalFormatting>
  <conditionalFormatting sqref="C2:C19">
    <cfRule type="duplicateValues" dxfId="1" priority="7"/>
  </conditionalFormatting>
  <conditionalFormatting sqref="C20:C61">
    <cfRule type="duplicateValues" dxfId="1" priority="5"/>
  </conditionalFormatting>
  <conditionalFormatting sqref="I35:J39 I2:J25 I27:J33 I26 J34">
    <cfRule type="duplicateValues" dxfId="1" priority="10"/>
  </conditionalFormatting>
  <conditionalFormatting sqref="C62:D70">
    <cfRule type="duplicateValues" dxfId="1" priority="6"/>
  </conditionalFormatting>
  <conditionalFormatting sqref="A73:A75 A69">
    <cfRule type="duplicateValues" dxfId="1" priority="3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selection activeCell="D6" sqref="D6"/>
    </sheetView>
  </sheetViews>
  <sheetFormatPr defaultColWidth="9" defaultRowHeight="15.5"/>
  <cols>
    <col min="1" max="1" width="13.9" style="2" customWidth="1"/>
    <col min="2" max="2" width="27.5" style="2" customWidth="1"/>
    <col min="3" max="3" width="30.2" style="2" customWidth="1"/>
    <col min="4" max="4" width="15.7" style="2" customWidth="1"/>
    <col min="5" max="7" width="18.7" style="2" customWidth="1"/>
    <col min="8" max="8" width="15" style="2" customWidth="1"/>
    <col min="9" max="9" width="9" style="2"/>
    <col min="10" max="10" width="11.2" style="2" customWidth="1"/>
    <col min="11" max="12" width="13.9" style="2" customWidth="1"/>
    <col min="13" max="13" width="11.7" style="2" customWidth="1"/>
    <col min="14" max="14" width="14.4" style="2" customWidth="1"/>
    <col min="15" max="15" width="13.1" style="2" customWidth="1"/>
    <col min="16" max="16384" width="9" style="2"/>
  </cols>
  <sheetData>
    <row r="1" spans="1:17">
      <c r="A1" s="3" t="s">
        <v>797</v>
      </c>
    </row>
    <row r="2" spans="1:17">
      <c r="A2" s="4" t="s">
        <v>40</v>
      </c>
      <c r="B2" s="4" t="s">
        <v>798</v>
      </c>
      <c r="C2" s="5"/>
    </row>
    <row r="3" spans="1:17">
      <c r="A3" s="6"/>
      <c r="B3" s="7" t="s">
        <v>799</v>
      </c>
      <c r="C3" s="8"/>
    </row>
    <row r="4" spans="1:17">
      <c r="A4" s="6" t="s">
        <v>800</v>
      </c>
      <c r="B4" s="7" t="s">
        <v>801</v>
      </c>
      <c r="C4" s="8"/>
    </row>
    <row r="5" spans="1:17">
      <c r="A5" s="6" t="s">
        <v>802</v>
      </c>
      <c r="B5" s="7" t="s">
        <v>803</v>
      </c>
      <c r="C5" s="8"/>
    </row>
    <row r="6" spans="1:17">
      <c r="A6" s="6" t="s">
        <v>804</v>
      </c>
      <c r="B6" s="7" t="s">
        <v>805</v>
      </c>
      <c r="C6" s="8"/>
    </row>
    <row r="7" spans="1:17">
      <c r="A7" s="6" t="s">
        <v>806</v>
      </c>
      <c r="B7" s="7" t="s">
        <v>807</v>
      </c>
      <c r="C7" s="8"/>
    </row>
    <row r="8" spans="1:17">
      <c r="A8" s="6" t="s">
        <v>808</v>
      </c>
      <c r="B8" s="7" t="s">
        <v>809</v>
      </c>
      <c r="C8" s="8"/>
    </row>
    <row r="9" spans="1:17">
      <c r="A9" s="6" t="s">
        <v>810</v>
      </c>
      <c r="B9" s="7" t="s">
        <v>811</v>
      </c>
      <c r="C9" s="8"/>
    </row>
    <row r="10" spans="1:17">
      <c r="A10" s="6" t="s">
        <v>812</v>
      </c>
      <c r="B10" s="7" t="s">
        <v>813</v>
      </c>
      <c r="C10" s="8"/>
    </row>
    <row r="11" spans="1:17">
      <c r="A11" s="6" t="s">
        <v>814</v>
      </c>
      <c r="B11" s="7" t="s">
        <v>815</v>
      </c>
      <c r="C11" s="8"/>
    </row>
    <row r="13" ht="19.95" customHeight="1" spans="1:17">
      <c r="A13" s="3" t="s">
        <v>816</v>
      </c>
    </row>
    <row r="14" spans="1:17">
      <c r="A14" s="9" t="s">
        <v>9</v>
      </c>
      <c r="B14" s="10" t="s">
        <v>10</v>
      </c>
      <c r="C14" s="10"/>
      <c r="D14" s="10"/>
      <c r="E14" s="10"/>
      <c r="F14" s="10"/>
    </row>
    <row r="15" spans="1:17">
      <c r="A15" s="11" t="s">
        <v>16</v>
      </c>
      <c r="B15" s="12" t="s">
        <v>817</v>
      </c>
      <c r="C15" s="12"/>
      <c r="D15" s="12"/>
      <c r="E15" s="12"/>
      <c r="F15" s="12"/>
    </row>
    <row r="16" spans="1:17">
      <c r="A16" s="13" t="s">
        <v>26</v>
      </c>
      <c r="B16" s="13" t="s">
        <v>27</v>
      </c>
      <c r="C16" s="14" t="s">
        <v>28</v>
      </c>
      <c r="D16" s="13" t="s">
        <v>29</v>
      </c>
      <c r="E16" s="13" t="s">
        <v>30</v>
      </c>
      <c r="F16" s="13" t="s">
        <v>31</v>
      </c>
      <c r="G16" s="14" t="s">
        <v>32</v>
      </c>
      <c r="H16" s="14" t="s">
        <v>33</v>
      </c>
      <c r="I16" s="13" t="s">
        <v>34</v>
      </c>
      <c r="J16" s="13" t="s">
        <v>35</v>
      </c>
      <c r="K16" s="13" t="s">
        <v>36</v>
      </c>
      <c r="L16" s="15" t="s">
        <v>37</v>
      </c>
      <c r="M16" s="15" t="s">
        <v>38</v>
      </c>
      <c r="N16" s="15" t="s">
        <v>39</v>
      </c>
      <c r="O16" s="15" t="s">
        <v>40</v>
      </c>
      <c r="P16" s="13" t="s">
        <v>41</v>
      </c>
      <c r="Q16" s="16" t="s">
        <v>42</v>
      </c>
    </row>
    <row r="17" s="1" customFormat="1" spans="1:17">
      <c r="A17" s="7"/>
      <c r="B17" s="17" t="s">
        <v>818</v>
      </c>
      <c r="C17" s="17"/>
      <c r="D17" s="18" t="s">
        <v>819</v>
      </c>
      <c r="E17" s="7"/>
      <c r="F17" s="7"/>
      <c r="G17" s="7"/>
      <c r="H17" s="7"/>
      <c r="I17" s="17">
        <v>1</v>
      </c>
      <c r="J17" s="19">
        <v>2</v>
      </c>
      <c r="K17" s="7"/>
      <c r="L17" s="20" t="s">
        <v>820</v>
      </c>
      <c r="M17" s="20" t="s">
        <v>821</v>
      </c>
      <c r="N17" s="20"/>
      <c r="O17" s="20" t="s">
        <v>800</v>
      </c>
      <c r="P17" s="7"/>
      <c r="Q17" s="21">
        <f t="array" ref="Q17">LEN(B17)-SUM((LEN(B17)-LEN(SUBSTITUTE(B17,修饰列表!$B$2:$B$79,修饰列表!$D$2:$D$79))))</f>
        <v>18</v>
      </c>
    </row>
    <row r="18" spans="1:17">
      <c r="A18" s="22"/>
      <c r="B18" s="23"/>
      <c r="C18" s="23"/>
      <c r="G18" s="24"/>
      <c r="H18" s="24"/>
      <c r="I18" s="25"/>
      <c r="J18" s="25"/>
      <c r="K18" s="24"/>
      <c r="L18" s="26"/>
      <c r="M18" s="26"/>
      <c r="N18" s="26"/>
      <c r="O18" s="26"/>
      <c r="P18" s="24"/>
      <c r="Q18" s="27"/>
    </row>
    <row r="19" spans="1:17">
      <c r="A19" s="3" t="s">
        <v>822</v>
      </c>
    </row>
    <row r="20" spans="1:17">
      <c r="A20" s="9" t="s">
        <v>9</v>
      </c>
      <c r="B20" s="10" t="s">
        <v>10</v>
      </c>
      <c r="C20" s="10"/>
      <c r="D20" s="10"/>
      <c r="E20" s="10"/>
      <c r="F20" s="10"/>
    </row>
    <row r="21" spans="1:17">
      <c r="A21" s="11" t="s">
        <v>16</v>
      </c>
      <c r="B21" s="12" t="s">
        <v>823</v>
      </c>
      <c r="C21" s="12"/>
      <c r="D21" s="12"/>
      <c r="E21" s="12"/>
      <c r="F21" s="12"/>
    </row>
    <row r="22" spans="1:17">
      <c r="A22" s="13" t="s">
        <v>26</v>
      </c>
      <c r="B22" s="13" t="s">
        <v>27</v>
      </c>
      <c r="C22" s="14" t="s">
        <v>28</v>
      </c>
      <c r="D22" s="13" t="s">
        <v>29</v>
      </c>
      <c r="E22" s="13" t="s">
        <v>30</v>
      </c>
      <c r="F22" s="13" t="s">
        <v>31</v>
      </c>
      <c r="G22" s="14" t="s">
        <v>32</v>
      </c>
      <c r="H22" s="14" t="s">
        <v>33</v>
      </c>
      <c r="I22" s="13" t="s">
        <v>34</v>
      </c>
      <c r="J22" s="13" t="s">
        <v>35</v>
      </c>
      <c r="K22" s="13" t="s">
        <v>36</v>
      </c>
      <c r="L22" s="15" t="s">
        <v>37</v>
      </c>
      <c r="M22" s="15" t="s">
        <v>38</v>
      </c>
      <c r="N22" s="15" t="s">
        <v>39</v>
      </c>
      <c r="O22" s="15" t="s">
        <v>40</v>
      </c>
      <c r="P22" s="13" t="s">
        <v>41</v>
      </c>
      <c r="Q22" s="16" t="s">
        <v>42</v>
      </c>
    </row>
    <row r="23" s="1" customFormat="1" spans="1:17">
      <c r="A23" s="7"/>
      <c r="B23" s="17" t="s">
        <v>824</v>
      </c>
      <c r="C23" s="17" t="s">
        <v>825</v>
      </c>
      <c r="D23" s="18" t="s">
        <v>819</v>
      </c>
      <c r="E23" s="7" t="s">
        <v>562</v>
      </c>
      <c r="F23" s="7"/>
      <c r="G23" s="7" t="s">
        <v>562</v>
      </c>
      <c r="H23" s="7"/>
      <c r="I23" s="17">
        <v>1</v>
      </c>
      <c r="J23" s="19">
        <v>2</v>
      </c>
      <c r="K23" s="7"/>
      <c r="L23" s="20" t="s">
        <v>820</v>
      </c>
      <c r="M23" s="20" t="s">
        <v>821</v>
      </c>
      <c r="N23" s="20">
        <v>100</v>
      </c>
      <c r="O23" s="20" t="s">
        <v>800</v>
      </c>
      <c r="P23" s="7"/>
      <c r="Q23" s="21">
        <f t="array" ref="Q23">LEN(B23)-SUM((LEN(B23)-LEN(SUBSTITUTE(B23,修饰列表!$B$2:$B$79,修饰列表!$D$2:$D$79))))</f>
        <v>22</v>
      </c>
    </row>
    <row r="24" spans="1:17">
      <c r="A24" s="22"/>
      <c r="B24" s="23"/>
      <c r="C24" s="23"/>
      <c r="G24" s="24"/>
      <c r="H24" s="24"/>
      <c r="I24" s="25"/>
      <c r="J24" s="25"/>
      <c r="K24" s="24"/>
      <c r="L24" s="26"/>
      <c r="M24" s="26"/>
      <c r="N24" s="26"/>
      <c r="O24" s="26"/>
      <c r="P24" s="24"/>
      <c r="Q24" s="27"/>
    </row>
    <row r="25" spans="1:17">
      <c r="A25" s="3" t="s">
        <v>826</v>
      </c>
    </row>
    <row r="26" spans="1:17">
      <c r="A26" s="9" t="s">
        <v>9</v>
      </c>
      <c r="B26" s="10" t="s">
        <v>10</v>
      </c>
      <c r="C26" s="10"/>
      <c r="D26" s="10"/>
      <c r="E26" s="10"/>
      <c r="F26" s="10"/>
    </row>
    <row r="27" spans="1:17">
      <c r="A27" s="11" t="s">
        <v>16</v>
      </c>
      <c r="B27" s="12" t="s">
        <v>817</v>
      </c>
      <c r="C27" s="12"/>
      <c r="D27" s="12"/>
      <c r="E27" s="12"/>
      <c r="F27" s="12"/>
    </row>
    <row r="28" spans="1:17">
      <c r="A28" s="13" t="s">
        <v>26</v>
      </c>
      <c r="B28" s="13" t="s">
        <v>27</v>
      </c>
      <c r="C28" s="14" t="s">
        <v>28</v>
      </c>
      <c r="D28" s="13" t="s">
        <v>29</v>
      </c>
      <c r="E28" s="13" t="s">
        <v>30</v>
      </c>
      <c r="F28" s="13" t="s">
        <v>31</v>
      </c>
      <c r="G28" s="14" t="s">
        <v>32</v>
      </c>
      <c r="H28" s="14" t="s">
        <v>33</v>
      </c>
      <c r="I28" s="13" t="s">
        <v>34</v>
      </c>
      <c r="J28" s="13" t="s">
        <v>35</v>
      </c>
      <c r="K28" s="13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3" t="s">
        <v>41</v>
      </c>
      <c r="Q28" s="16" t="s">
        <v>42</v>
      </c>
    </row>
    <row r="29" s="1" customFormat="1" spans="1:17">
      <c r="A29" s="7"/>
      <c r="B29" s="17" t="s">
        <v>827</v>
      </c>
      <c r="C29" s="17"/>
      <c r="D29" s="18" t="s">
        <v>819</v>
      </c>
      <c r="E29" s="7"/>
      <c r="F29" s="7"/>
      <c r="G29" s="7"/>
      <c r="H29" s="7"/>
      <c r="I29" s="17">
        <v>1</v>
      </c>
      <c r="J29" s="19">
        <v>2</v>
      </c>
      <c r="K29" s="7"/>
      <c r="L29" s="20" t="s">
        <v>820</v>
      </c>
      <c r="M29" s="20" t="s">
        <v>821</v>
      </c>
      <c r="N29" s="20"/>
      <c r="O29" s="20" t="s">
        <v>800</v>
      </c>
      <c r="P29" s="7"/>
      <c r="Q29" s="21">
        <f t="array" ref="Q29">LEN(B29)-SUM((LEN(B29)-LEN(SUBSTITUTE(B29,修饰列表!$B$2:$B$79,修饰列表!$D$2:$D$79))))</f>
        <v>24</v>
      </c>
    </row>
  </sheetData>
  <mergeCells count="16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4:F14"/>
    <mergeCell ref="B15:F15"/>
    <mergeCell ref="B20:F20"/>
    <mergeCell ref="B21:F21"/>
    <mergeCell ref="B26:F26"/>
    <mergeCell ref="B27:F27"/>
  </mergeCells>
  <dataValidations count="9">
    <dataValidation allowBlank="1" showInputMessage="1" showErrorMessage="1" prompt="此处由公司系统产生，请不要填写" sqref="B14:F14 B20:F20 B26:F26"/>
    <dataValidation type="list" allowBlank="1" showInputMessage="1" showErrorMessage="1" prompt="此处，为公司代号，请不要修改" sqref="B15:F15 B21:F21 B27:F27">
      <formula1>"干粉（稳定）,1*TE 100uM,1*TE 10uM,ddH2O 100uM,dd H2O 10uM"</formula1>
    </dataValidation>
    <dataValidation type="list" allowBlank="1" showInputMessage="1" showErrorMessage="1" sqref="D17 D23 D29">
      <formula1>"HPLC,RNase Free HPLC"</formula1>
    </dataValidation>
    <dataValidation type="list" allowBlank="1" showInputMessage="1" showErrorMessage="1" sqref="E17 E23 E29 G29 G17:G18 G23:G24">
      <formula1>可合成修饰种类!$G$2:$G$52</formula1>
    </dataValidation>
    <dataValidation type="list" allowBlank="1" showInputMessage="1" showErrorMessage="1" sqref="F17 F23 H23 F29 H29 H17:H18">
      <formula1>可合成修饰种类!$I$2:$I$45</formula1>
    </dataValidation>
    <dataValidation type="list" allowBlank="1" showInputMessage="1" showErrorMessage="1" sqref="H24 F30">
      <formula1>可合成修饰种类!$I$2:$I$39</formula1>
    </dataValidation>
    <dataValidation type="list" allowBlank="1" showInputMessage="1" showErrorMessage="1" sqref="L29 L17:L18 L23:L24">
      <formula1>"BLG白色标签,BLG透明标签,无LOGO标签"</formula1>
    </dataValidation>
    <dataValidation type="list" allowBlank="1" showInputMessage="1" showErrorMessage="1" sqref="M29 M17:M18 M23:M24">
      <formula1>"1.5ml可立管,1.5ml离心管,2ml离心管,5ml离心管,50ml离心管"</formula1>
    </dataValidation>
    <dataValidation type="list" allowBlank="1" showInputMessage="1" showErrorMessage="1" sqref="O29 O17:O18 O23:O24">
      <formula1>"HPTP,MSTP,H+M,H+F,M+F,H+M+F,H+M+C,H+M+F+C,"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9" master="" otherUserPermission="visible">
    <arrUserId title="区域2" rangeCreator="" othersAccessPermission="edit"/>
  </rangeList>
  <rangeList sheetStid="10" master="" otherUserPermission="visible"/>
  <rangeList sheetStid="12" master="" otherUserPermission="visible"/>
  <rangeList sheetStid="5" master="" otherUserPermission="visible"/>
  <rangeList sheetStid="3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RNA单靶点定制表</vt:lpstr>
      <vt:lpstr>套装订购</vt:lpstr>
      <vt:lpstr>套装说明</vt:lpstr>
      <vt:lpstr>引用数据</vt:lpstr>
      <vt:lpstr>修饰列表</vt:lpstr>
      <vt:lpstr>可合成修饰种类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物语</cp:lastModifiedBy>
  <dcterms:created xsi:type="dcterms:W3CDTF">2007-05-22T02:44:00Z</dcterms:created>
  <cp:lastPrinted>2022-09-26T02:28:00Z</cp:lastPrinted>
  <dcterms:modified xsi:type="dcterms:W3CDTF">2026-01-21T14:03:28Z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60D18653D80740FE8FB40995657A00CA_13</vt:lpwstr>
  </property>
  <property fmtid="{D5CDD505-2E9C-101B-9397-08002B2CF9AE}" pid="4" name="CalculationRule">
    <vt:i4>0</vt:i4>
  </property>
</Properties>
</file>